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IYANSHI\Excel\"/>
    </mc:Choice>
  </mc:AlternateContent>
  <xr:revisionPtr revIDLastSave="0" documentId="8_{27858C74-06D9-40D6-ABB3-6650D4EF8064}" xr6:coauthVersionLast="47" xr6:coauthVersionMax="47" xr10:uidLastSave="{00000000-0000-0000-0000-000000000000}"/>
  <bookViews>
    <workbookView xWindow="-108" yWindow="-108" windowWidth="23256" windowHeight="12456" activeTab="4" xr2:uid="{9ECCC7CB-54EF-437F-AC50-99B59A6D09BB}"/>
  </bookViews>
  <sheets>
    <sheet name="Task1" sheetId="2" r:id="rId1"/>
    <sheet name="Task2" sheetId="1" r:id="rId2"/>
    <sheet name="Task3" sheetId="3" r:id="rId3"/>
    <sheet name="Task4" sheetId="4" r:id="rId4"/>
    <sheet name="Task5" sheetId="5" r:id="rId5"/>
    <sheet name="Task6" sheetId="6" r:id="rId6"/>
    <sheet name="Task7" sheetId="7" r:id="rId7"/>
    <sheet name="Task8" sheetId="8" r:id="rId8"/>
    <sheet name="Task9" sheetId="9" r:id="rId9"/>
    <sheet name="Task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10" l="1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10" i="10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10" i="9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10" i="8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11" i="7"/>
  <c r="K14" i="6"/>
  <c r="K9" i="6"/>
  <c r="J2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11" i="5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J7" i="3"/>
  <c r="J8" i="3"/>
  <c r="J9" i="3"/>
  <c r="J10" i="3"/>
  <c r="J6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11" i="3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13" i="2"/>
  <c r="J17" i="5" l="1"/>
  <c r="K12" i="5"/>
  <c r="K11" i="5"/>
  <c r="K10" i="5"/>
  <c r="F30" i="4"/>
  <c r="F31" i="4"/>
  <c r="F29" i="4"/>
  <c r="F28" i="4"/>
  <c r="J15" i="3"/>
  <c r="J14" i="3"/>
  <c r="J13" i="3"/>
  <c r="J12" i="3"/>
  <c r="J16" i="3"/>
  <c r="J22" i="3"/>
  <c r="J20" i="3"/>
  <c r="J25" i="3"/>
  <c r="J24" i="3"/>
  <c r="J23" i="3"/>
  <c r="J21" i="3"/>
  <c r="J19" i="3"/>
  <c r="J18" i="3"/>
  <c r="J11" i="3"/>
  <c r="J17" i="3"/>
</calcChain>
</file>

<file path=xl/sharedStrings.xml><?xml version="1.0" encoding="utf-8"?>
<sst xmlns="http://schemas.openxmlformats.org/spreadsheetml/2006/main" count="466" uniqueCount="158">
  <si>
    <t>Task 1: Employee Sheet – Basic Formatting</t>
  </si>
  <si>
    <t>Employee ID</t>
  </si>
  <si>
    <t>Name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</si>
  <si>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</si>
  <si>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</si>
  <si>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</si>
  <si>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</si>
  <si>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</si>
  <si>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</si>
  <si>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</si>
  <si>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</si>
  <si>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</si>
  <si>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</si>
  <si>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</si>
  <si>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</si>
  <si>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E104</t>
  </si>
  <si>
    <t>Pooja Singh</t>
  </si>
  <si>
    <t>E105</t>
  </si>
  <si>
    <t>Ankit Patel</t>
  </si>
  <si>
    <t>Sales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</si>
  <si>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</si>
  <si>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</si>
  <si>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</si>
  <si>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</si>
  <si>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</si>
  <si>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</si>
  <si>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</si>
  <si>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</si>
  <si>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</si>
  <si>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</si>
  <si>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</si>
  <si>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</si>
  <si>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</si>
  <si>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</si>
  <si>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</si>
  <si>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Task 2: Sales Report – Beautification</t>
  </si>
  <si>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</si>
  <si>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</si>
  <si>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</si>
  <si>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</si>
  <si>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</si>
  <si>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</si>
  <si>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</si>
  <si>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</si>
  <si>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</si>
  <si>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</si>
  <si>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</si>
  <si>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</si>
  <si>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</si>
  <si>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</si>
  <si>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</si>
  <si>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</si>
  <si>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>Laptop Dell Inspiron 16</t>
  </si>
  <si>
    <t>Laptop Dell Inspiron 17</t>
  </si>
  <si>
    <t>Laptop Dell Inspiron 18</t>
  </si>
  <si>
    <t>Laptop Dell Inspiron 19</t>
  </si>
  <si>
    <t>Monthly Sales Report</t>
  </si>
  <si>
    <t>Task 3: Student Marks Sheet – Formatting</t>
  </si>
  <si>
    <t>Roll No</t>
  </si>
  <si>
    <t>Student Name</t>
  </si>
  <si>
    <t>Maths</t>
  </si>
  <si>
    <t>Science</t>
  </si>
  <si>
    <t>English</t>
  </si>
  <si>
    <t>Percentage</t>
  </si>
  <si>
    <t>Aakash</t>
  </si>
  <si>
    <t>Bhavya</t>
  </si>
  <si>
    <t>Chirag</t>
  </si>
  <si>
    <t>Divya</t>
  </si>
  <si>
    <t>Esha</t>
  </si>
  <si>
    <t>Task 4: Sales Summary – Aggregation Functions</t>
  </si>
  <si>
    <t>Invoice No</t>
  </si>
  <si>
    <t>Date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</si>
  <si>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</si>
  <si>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</si>
  <si>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</si>
  <si>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</si>
  <si>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</si>
  <si>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</si>
  <si>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</si>
  <si>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</si>
  <si>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</si>
  <si>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</si>
  <si>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</si>
  <si>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</si>
  <si>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</si>
  <si>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</si>
  <si>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</si>
  <si>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</si>
  <si>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</si>
  <si>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</si>
  <si>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</si>
  <si>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</si>
  <si>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 xml:space="preserve">Total </t>
  </si>
  <si>
    <t>Average</t>
  </si>
  <si>
    <t>Highest</t>
  </si>
  <si>
    <t xml:space="preserve">Lowest </t>
  </si>
  <si>
    <t>Task 5: Department-wise Salary Analysis</t>
  </si>
  <si>
    <t>Employee Name</t>
  </si>
  <si>
    <t>Suresh</t>
  </si>
  <si>
    <t>Meena</t>
  </si>
  <si>
    <t>Karan</t>
  </si>
  <si>
    <t>Ritu</t>
  </si>
  <si>
    <t>Aman</t>
  </si>
  <si>
    <t>Neel</t>
  </si>
  <si>
    <t>Total salary per department</t>
  </si>
  <si>
    <t>Average salary</t>
  </si>
  <si>
    <t>Count employees</t>
  </si>
  <si>
    <t>Task 6: Attendance Sheet – COUNTIF</t>
  </si>
  <si>
    <t>Day 1</t>
  </si>
  <si>
    <t>Day 2</t>
  </si>
  <si>
    <t>Day 3</t>
  </si>
  <si>
    <t>Day 4</t>
  </si>
  <si>
    <t>Day 5</t>
  </si>
  <si>
    <t>P</t>
  </si>
  <si>
    <t>A</t>
  </si>
  <si>
    <t xml:space="preserve"> Count Present days</t>
  </si>
  <si>
    <t>Count Absent days</t>
  </si>
  <si>
    <t>Task 7: Sales Count Logic</t>
  </si>
  <si>
    <t>Order ID</t>
  </si>
  <si>
    <t>O101</t>
  </si>
  <si>
    <t>O102</t>
  </si>
  <si>
    <t>O103</t>
  </si>
  <si>
    <t>O104</t>
  </si>
  <si>
    <t>O105</t>
  </si>
  <si>
    <t>O106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</si>
  <si>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</si>
  <si>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</si>
  <si>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</si>
  <si>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</si>
  <si>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</si>
  <si>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</si>
  <si>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</si>
  <si>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</si>
  <si>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</si>
  <si>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</si>
  <si>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</si>
  <si>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</si>
  <si>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</si>
  <si>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O120</t>
  </si>
  <si>
    <t>Task 8: Conditional Formatting – Sales</t>
  </si>
  <si>
    <t>Product</t>
  </si>
  <si>
    <t>Mobile</t>
  </si>
  <si>
    <t>Headphones</t>
  </si>
  <si>
    <t>Laptop</t>
  </si>
  <si>
    <t>Keyboard</t>
  </si>
  <si>
    <t>Tablet</t>
  </si>
  <si>
    <t>Task 9: Student Result Highlight</t>
  </si>
  <si>
    <t>Marks</t>
  </si>
  <si>
    <t>Bharti</t>
  </si>
  <si>
    <t>Chetan</t>
  </si>
  <si>
    <t>Deepa</t>
  </si>
  <si>
    <t>Farhan</t>
  </si>
  <si>
    <t>Task 10: Salary Band – Conditional Formatting</t>
  </si>
  <si>
    <t>Rohit</t>
  </si>
  <si>
    <t>Simran</t>
  </si>
  <si>
    <t>Vijay</t>
  </si>
  <si>
    <t>Nisha</t>
  </si>
  <si>
    <t>Mohan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</si>
</sst>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"/>
    <numFmt numFmtId="165" formatCode="_ [$₹-4009]\ * #,##0.00_ ;_ [$₹-4009]\ * \-#,##0.00_ ;_ [$₹-4009]\ * &quot;-&quot;??_ ;_ @_ "/>
    <numFmt numFmtId="171" formatCode="_ [$₹-4009]\ * #,##0_ ;_ [$₹-4009]\ * \-#,##0_ ;_ [$₹-4009]\ * &quot;-&quot;??_ ;_ @_ 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2"/>
      <color rgb="FF1F2328"/>
      <name val="Calibri Light"/>
      <family val="2"/>
      <scheme val="major"/>
    </font>
    <font>
      <sz val="12"/>
      <color rgb="FF1F2328"/>
      <name val="Calibri Light"/>
      <family val="2"/>
      <scheme val="major"/>
    </font>
    <font>
      <sz val="8"/>
      <name val="Calibri"/>
      <family val="2"/>
      <scheme val="minor"/>
    </font>
    <font>
      <b/>
      <sz val="12"/>
      <color rgb="FF1F2328"/>
      <name val="Calibri Light"/>
      <family val="2"/>
      <scheme val="major"/>
    </font>
    <font>
      <i/>
      <u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1F2328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u/>
      <sz val="22"/>
      <color theme="1"/>
      <name val="Calibri Light"/>
      <family val="2"/>
      <scheme val="major"/>
    </font>
    <font>
      <sz val="11"/>
      <color rgb="FF1F2328"/>
      <name val="Calibri Light"/>
      <family val="2"/>
      <scheme val="major"/>
    </font>
    <font>
      <b/>
      <u/>
      <sz val="12"/>
      <color theme="1"/>
      <name val="Calibri Light"/>
      <family val="2"/>
      <scheme val="major"/>
    </font>
    <font>
      <b/>
      <u/>
      <sz val="18"/>
      <color theme="1"/>
      <name val="Calibri Light"/>
      <family val="2"/>
      <scheme val="major"/>
    </font>
    <font>
      <b/>
      <u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</fonts>
  <fills count="1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/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medium">
        <color rgb="FFD1D9E0"/>
      </left>
      <right/>
      <top style="medium">
        <color rgb="FFD1D9E0"/>
      </top>
      <bottom style="medium">
        <color rgb="FFD1D9E0"/>
      </bottom>
      <diagonal/>
    </border>
    <border>
      <left/>
      <right style="medium">
        <color rgb="FFD1D9E0"/>
      </right>
      <top/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/>
      <bottom style="medium">
        <color rgb="FFD1D9E0"/>
      </bottom>
      <diagonal/>
    </border>
    <border>
      <left style="medium">
        <color rgb="FFD1D9E0"/>
      </left>
      <right/>
      <top/>
      <bottom style="medium">
        <color rgb="FFD1D9E0"/>
      </bottom>
      <diagonal/>
    </border>
    <border>
      <left style="medium">
        <color rgb="FFD1D9E0"/>
      </left>
      <right/>
      <top/>
      <bottom/>
      <diagonal/>
    </border>
    <border>
      <left/>
      <right style="medium">
        <color rgb="FFD1D9E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1D9E0"/>
      </left>
      <right style="medium">
        <color rgb="FFD1D9E0"/>
      </right>
      <top/>
      <bottom/>
      <diagonal/>
    </border>
    <border>
      <left style="medium">
        <color rgb="FFD1D9E0"/>
      </left>
      <right/>
      <top style="medium">
        <color rgb="FFD1D9E0"/>
      </top>
      <bottom/>
      <diagonal/>
    </border>
    <border>
      <left/>
      <right style="medium">
        <color rgb="FFD1D9E0"/>
      </right>
      <top style="medium">
        <color rgb="FFD1D9E0"/>
      </top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5">
    <xf numFmtId="0" fontId="0" fillId="0" borderId="0" xfId="0"/>
    <xf numFmtId="0" fontId="0" fillId="0" borderId="0" xfId="0" applyAlignment="1">
      <alignment horizontal="center"/>
    </xf>
    <xf numFmtId="0" fontId="5" fillId="3" borderId="9" xfId="0" applyFont="1" applyFill="1" applyBorder="1" applyAlignment="1">
      <alignment horizontal="left" vertical="center" indent="1"/>
    </xf>
    <xf numFmtId="14" fontId="5" fillId="3" borderId="9" xfId="0" applyNumberFormat="1" applyFont="1" applyFill="1" applyBorder="1" applyAlignment="1">
      <alignment horizontal="left" vertical="center" indent="1"/>
    </xf>
    <xf numFmtId="0" fontId="5" fillId="4" borderId="9" xfId="0" applyFont="1" applyFill="1" applyBorder="1" applyAlignment="1">
      <alignment horizontal="left" vertical="center" indent="1"/>
    </xf>
    <xf numFmtId="14" fontId="5" fillId="4" borderId="9" xfId="0" applyNumberFormat="1" applyFont="1" applyFill="1" applyBorder="1" applyAlignment="1">
      <alignment horizontal="left" vertical="center" indent="1"/>
    </xf>
    <xf numFmtId="0" fontId="5" fillId="3" borderId="9" xfId="0" applyFont="1" applyFill="1" applyBorder="1" applyAlignment="1">
      <alignment horizontal="left" vertical="center" wrapText="1" indent="1"/>
    </xf>
    <xf numFmtId="0" fontId="5" fillId="4" borderId="9" xfId="0" applyFont="1" applyFill="1" applyBorder="1" applyAlignment="1">
      <alignment horizontal="left" vertical="center" wrapText="1" indent="1"/>
    </xf>
    <xf numFmtId="0" fontId="8" fillId="0" borderId="0" xfId="0" applyFont="1"/>
    <xf numFmtId="164" fontId="5" fillId="3" borderId="9" xfId="0" applyNumberFormat="1" applyFont="1" applyFill="1" applyBorder="1" applyAlignment="1">
      <alignment horizontal="left" vertical="center" indent="1"/>
    </xf>
    <xf numFmtId="164" fontId="5" fillId="4" borderId="9" xfId="0" applyNumberFormat="1" applyFont="1" applyFill="1" applyBorder="1" applyAlignment="1">
      <alignment horizontal="left" vertical="center" indent="1"/>
    </xf>
    <xf numFmtId="164" fontId="5" fillId="3" borderId="9" xfId="0" applyNumberFormat="1" applyFont="1" applyFill="1" applyBorder="1" applyAlignment="1">
      <alignment horizontal="left" vertical="center" wrapText="1" inden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6" borderId="6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12" fillId="0" borderId="0" xfId="0" applyFont="1" applyAlignment="1">
      <alignment horizontal="center" vertical="center"/>
    </xf>
    <xf numFmtId="9" fontId="5" fillId="3" borderId="3" xfId="1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0" fontId="11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1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1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165" fontId="12" fillId="0" borderId="0" xfId="0" applyNumberFormat="1" applyFont="1"/>
    <xf numFmtId="165" fontId="5" fillId="3" borderId="1" xfId="0" applyNumberFormat="1" applyFont="1" applyFill="1" applyBorder="1" applyAlignment="1">
      <alignment horizontal="left" vertical="center" indent="7"/>
    </xf>
    <xf numFmtId="165" fontId="5" fillId="4" borderId="1" xfId="0" applyNumberFormat="1" applyFont="1" applyFill="1" applyBorder="1" applyAlignment="1">
      <alignment horizontal="left" vertical="center" indent="7"/>
    </xf>
    <xf numFmtId="165" fontId="14" fillId="0" borderId="0" xfId="0" applyNumberFormat="1" applyFont="1" applyAlignment="1">
      <alignment horizontal="left" vertical="center" indent="7"/>
    </xf>
    <xf numFmtId="0" fontId="17" fillId="10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19" fillId="10" borderId="0" xfId="0" applyFont="1" applyFill="1" applyAlignment="1">
      <alignment horizontal="center"/>
    </xf>
    <xf numFmtId="0" fontId="18" fillId="3" borderId="5" xfId="0" applyFont="1" applyFill="1" applyBorder="1" applyAlignment="1">
      <alignment horizontal="center" vertical="center"/>
    </xf>
    <xf numFmtId="171" fontId="13" fillId="3" borderId="1" xfId="0" applyNumberFormat="1" applyFont="1" applyFill="1" applyBorder="1" applyAlignment="1">
      <alignment horizontal="center" vertical="center"/>
    </xf>
    <xf numFmtId="171" fontId="13" fillId="4" borderId="1" xfId="0" applyNumberFormat="1" applyFont="1" applyFill="1" applyBorder="1" applyAlignment="1">
      <alignment horizontal="center" vertical="center"/>
    </xf>
    <xf numFmtId="171" fontId="12" fillId="0" borderId="0" xfId="0" applyNumberFormat="1" applyFont="1" applyAlignment="1">
      <alignment horizontal="center" vertical="center"/>
    </xf>
    <xf numFmtId="171" fontId="0" fillId="0" borderId="0" xfId="0" applyNumberFormat="1"/>
    <xf numFmtId="0" fontId="17" fillId="11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21" fillId="11" borderId="0" xfId="0" applyFont="1" applyFill="1" applyAlignment="1">
      <alignment horizontal="center"/>
    </xf>
    <xf numFmtId="0" fontId="18" fillId="3" borderId="4" xfId="0" applyFont="1" applyFill="1" applyBorder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/>
    </xf>
    <xf numFmtId="0" fontId="13" fillId="4" borderId="13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/>
    </xf>
    <xf numFmtId="0" fontId="17" fillId="12" borderId="14" xfId="0" applyFont="1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17" fillId="13" borderId="0" xfId="0" applyFont="1" applyFill="1" applyAlignment="1">
      <alignment horizontal="center"/>
    </xf>
    <xf numFmtId="0" fontId="0" fillId="13" borderId="0" xfId="0" applyFill="1" applyAlignment="1">
      <alignment horizontal="center"/>
    </xf>
    <xf numFmtId="0" fontId="12" fillId="0" borderId="0" xfId="0" applyFont="1" applyAlignment="1">
      <alignment horizontal="right"/>
    </xf>
    <xf numFmtId="0" fontId="17" fillId="14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0" fontId="20" fillId="15" borderId="0" xfId="0" applyFont="1" applyFill="1" applyAlignment="1">
      <alignment horizontal="center"/>
    </xf>
    <xf numFmtId="0" fontId="9" fillId="15" borderId="0" xfId="0" applyFont="1" applyFill="1" applyAlignment="1">
      <alignment horizontal="center"/>
    </xf>
    <xf numFmtId="0" fontId="22" fillId="3" borderId="1" xfId="0" applyFont="1" applyFill="1" applyBorder="1" applyAlignment="1">
      <alignment horizontal="right" vertical="center"/>
    </xf>
    <xf numFmtId="0" fontId="12" fillId="3" borderId="1" xfId="0" applyFont="1" applyFill="1" applyBorder="1" applyAlignment="1">
      <alignment horizontal="right" vertical="center"/>
    </xf>
    <xf numFmtId="0" fontId="12" fillId="4" borderId="1" xfId="0" applyFont="1" applyFill="1" applyBorder="1" applyAlignment="1">
      <alignment horizontal="right" vertical="center"/>
    </xf>
    <xf numFmtId="0" fontId="0" fillId="0" borderId="0" xfId="0" applyAlignment="1">
      <alignment horizontal="right"/>
    </xf>
  </cellXfs>
  <cellStyles count="2">
    <cellStyle name="Normal" xfId="0" builtinId="0"/>
    <cellStyle name="Percent" xfId="1" builtinId="5"/>
  </cellStyles>
  <dxfs count="6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border outline="0">
        <bottom style="medium">
          <color rgb="FFD1D9E0"/>
        </bottom>
      </border>
    </dxf>
    <dxf>
      <border outline="0">
        <left style="medium">
          <color rgb="FFD1D9E0"/>
        </left>
        <top style="medium">
          <color rgb="FFD1D9E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border outline="0">
        <bottom style="medium">
          <color rgb="FFD1D9E0"/>
        </bottom>
      </border>
    </dxf>
    <dxf>
      <border outline="0">
        <left style="medium">
          <color rgb="FFD1D9E0"/>
        </left>
        <top style="medium">
          <color rgb="FFD1D9E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border outline="0">
        <bottom style="medium">
          <color rgb="FFD1D9E0"/>
        </bottom>
      </border>
    </dxf>
    <dxf>
      <border outline="0">
        <top style="medium">
          <color rgb="FFD1D9E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Calibri Light"/>
        <family val="2"/>
        <scheme val="major"/>
      </font>
      <fill>
        <patternFill patternType="solid">
          <fgColor indexed="64"/>
          <bgColor rgb="FFF6F8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Calibri Light"/>
        <family val="2"/>
        <scheme val="major"/>
      </font>
      <fill>
        <patternFill patternType="solid">
          <fgColor indexed="64"/>
          <bgColor rgb="FFF6F8FA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D1D9E0"/>
        </left>
        <right/>
        <top style="medium">
          <color rgb="FFD1D9E0"/>
        </top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Calibri Light"/>
        <family val="2"/>
        <scheme val="major"/>
      </font>
      <fill>
        <patternFill patternType="solid">
          <fgColor indexed="64"/>
          <bgColor rgb="FFF6F8FA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Calibri Light"/>
        <family val="2"/>
        <scheme val="major"/>
      </font>
      <fill>
        <patternFill patternType="solid">
          <fgColor indexed="64"/>
          <bgColor rgb="FFF6F8FA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Calibri Light"/>
        <family val="2"/>
        <scheme val="major"/>
      </font>
      <fill>
        <patternFill patternType="solid">
          <fgColor indexed="64"/>
          <bgColor rgb="FFF6F8FA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Calibri Light"/>
        <family val="2"/>
        <scheme val="major"/>
      </font>
      <fill>
        <patternFill patternType="solid">
          <fgColor indexed="64"/>
          <bgColor rgb="FFF6F8FA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Calibri Light"/>
        <family val="2"/>
        <scheme val="major"/>
      </font>
      <fill>
        <patternFill patternType="solid">
          <fgColor indexed="64"/>
          <bgColor rgb="FFF6F8FA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top style="medium">
          <color rgb="FFD1D9E0"/>
        </top>
      </border>
    </dxf>
    <dxf>
      <border outline="0">
        <bottom style="medium">
          <color rgb="FFD1D9E0"/>
        </bottom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border outline="0">
        <bottom style="medium">
          <color rgb="FFD1D9E0"/>
        </bottom>
      </border>
    </dxf>
    <dxf>
      <border outline="0">
        <top style="medium">
          <color rgb="FFD1D9E0"/>
        </top>
      </border>
    </dxf>
    <dxf>
      <numFmt numFmtId="165" formatCode="_ [$₹-4009]\ * #,##0.00_ ;_ [$₹-4009]\ * \-#,##0.00_ ;_ [$₹-4009]\ * &quot;-&quot;??_ ;_ @_ "/>
      <alignment horizontal="left" vertical="center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D1D9E0"/>
        </left>
        <right/>
        <top style="medium">
          <color rgb="FFD1D9E0"/>
        </top>
        <bottom style="medium">
          <color rgb="FFD1D9E0"/>
        </bottom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left style="medium">
          <color rgb="FFD1D9E0"/>
        </left>
        <top style="medium">
          <color rgb="FFD1D9E0"/>
        </top>
      </border>
    </dxf>
    <dxf>
      <border outline="0"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rgb="FFF6F8FA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rgb="FFD1D9E0"/>
        </left>
        <right/>
        <top style="medium">
          <color rgb="FFD1D9E0"/>
        </top>
        <bottom style="medium">
          <color rgb="FFD1D9E0"/>
        </bottom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rgb="FFF6F8FA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rgb="FFF6F8FA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</border>
    </dxf>
    <dxf>
      <alignment horizontal="center" vertical="bottom" textRotation="0" wrapText="0" indent="0" justifyLastLine="0" shrinkToFit="0" readingOrder="0"/>
    </dxf>
    <dxf>
      <border outline="0"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numFmt numFmtId="19" formatCode="dd/mm/yyyy"/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numFmt numFmtId="164" formatCode="&quot;₹&quot;\ #,##0.00"/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medium">
          <color rgb="FFD1D9E0"/>
        </top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</dxf>
    <dxf>
      <border outline="0">
        <bottom style="medium">
          <color rgb="FFD1D9E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D1D9E0"/>
        </left>
        <right/>
        <top style="medium">
          <color rgb="FFD1D9E0"/>
        </top>
        <bottom style="medium">
          <color rgb="FFD1D9E0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rgb="FFD1D9E0"/>
        </right>
        <top style="medium">
          <color rgb="FFD1D9E0"/>
        </top>
        <bottom style="medium">
          <color rgb="FFD1D9E0"/>
        </bottom>
        <vertical/>
        <horizontal/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</border>
    </dxf>
    <dxf>
      <border outline="0">
        <bottom style="medium">
          <color rgb="FFD1D9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2328"/>
        <name val="Calibri Light"/>
        <family val="2"/>
        <scheme val="major"/>
      </font>
      <fill>
        <patternFill patternType="solid">
          <fgColor indexed="64"/>
          <bgColor theme="3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D1D9E0"/>
        </left>
        <right style="medium">
          <color rgb="FFD1D9E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2AEEC8-56C1-4727-B37D-5E0D96E4A2D4}" name="Table1" displayName="Table1" ref="D7:H27" totalsRowShown="0" headerRowDxfId="54" dataDxfId="52" headerRowBorderDxfId="53" tableBorderDxfId="51" totalsRowBorderDxfId="50">
  <autoFilter ref="D7:H27" xr:uid="{762AEEC8-56C1-4727-B37D-5E0D96E4A2D4}"/>
  <tableColumns count="5">
    <tableColumn id="1" xr3:uid="{1D2B9F41-873D-406B-BA6A-FC020CFA807C}" name="Employee ID" dataDxfId="49"/>
    <tableColumn id="2" xr3:uid="{FA616B01-99A3-4FCA-95C7-0A23A18AEF77}" name="Name" dataDxfId="48"/>
    <tableColumn id="3" xr3:uid="{5DD978AD-D37A-42E4-9916-27C639CEE4E6}" name="Department" dataDxfId="47"/>
    <tableColumn id="4" xr3:uid="{85CAEDAE-1315-43D6-BD43-700469AF699D}" name="Salary" dataDxfId="46"/>
    <tableColumn id="5" xr3:uid="{66AD211E-F5DA-4454-8767-BEC0ADF51078}" name="Joining Date" dataDxfId="45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75EADB-EF76-48BA-B06B-4B6481D98F4B}" name="Table2" displayName="Table2" ref="E8:H28" totalsRowShown="0" headerRowDxfId="44" dataDxfId="42" headerRowBorderDxfId="43" tableBorderDxfId="41">
  <autoFilter ref="E8:H28" xr:uid="{2375EADB-EF76-48BA-B06B-4B6481D98F4B}"/>
  <tableColumns count="4">
    <tableColumn id="1" xr3:uid="{73DD30CF-AC77-4CE9-BB4E-80C7082633E8}" name="Product Name" dataDxfId="40"/>
    <tableColumn id="2" xr3:uid="{08032EA0-EA94-4921-9B82-FCBE0BCAB483}" name="Region" dataDxfId="39"/>
    <tableColumn id="3" xr3:uid="{3EC883BA-5F70-4DAC-B103-3858FC1A1765}" name="Sales Amount" dataDxfId="38">
      <calculatedColumnFormula>RANDBETWEEN(15000,50000)</calculatedColumnFormula>
    </tableColumn>
    <tableColumn id="4" xr3:uid="{565D3713-6F8E-434C-8A1A-FB2C3E151D51}" name="Salesperson" dataDxfId="37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43DDB7-0C0B-4F8C-8F6E-8696CE6EF38D}" name="Table3" displayName="Table3" ref="E5:J25" totalsRowShown="0" headerRowDxfId="63" headerRowBorderDxfId="62" tableBorderDxfId="61">
  <autoFilter ref="E5:J25" xr:uid="{6843DDB7-0C0B-4F8C-8F6E-8696CE6EF38D}"/>
  <tableColumns count="6">
    <tableColumn id="1" xr3:uid="{9557BF19-ECC2-43A2-BDF8-956B8FB30951}" name="Roll No" dataDxfId="60"/>
    <tableColumn id="2" xr3:uid="{157B0C53-C1C3-4E18-A3E6-3E145CD72D75}" name="Student Name" dataDxfId="59"/>
    <tableColumn id="3" xr3:uid="{F817D220-AF38-451C-88D9-FC6D41B69883}" name="Maths" dataDxfId="58">
      <calculatedColumnFormula>RANDBETWEEN(33,100)</calculatedColumnFormula>
    </tableColumn>
    <tableColumn id="4" xr3:uid="{9B413509-E78F-43EE-A096-A84A5B0E40E8}" name="Science" dataDxfId="57">
      <calculatedColumnFormula>RANDBETWEEN(33,100)</calculatedColumnFormula>
    </tableColumn>
    <tableColumn id="5" xr3:uid="{BE16CF0A-74F6-42A9-B5A4-D589B060E557}" name="English" dataDxfId="56">
      <calculatedColumnFormula>RANDBETWEEN(33,100)</calculatedColumnFormula>
    </tableColumn>
    <tableColumn id="6" xr3:uid="{CA8CF661-BFD2-499E-B7BF-F6C77EE2D701}" name="Percentage" dataDxfId="55" dataCellStyle="Percent">
      <calculatedColumnFormula>(G6+H6+I6)/300</calculatedColumnFormula>
    </tableColumn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C54AB19-1F6B-4D40-B508-F4BB513F53FF}" name="Table4" displayName="Table4" ref="D6:F26" totalsRowShown="0" headerRowDxfId="33" dataDxfId="32" headerRowBorderDxfId="36" tableBorderDxfId="35">
  <autoFilter ref="D6:F26" xr:uid="{AC54AB19-1F6B-4D40-B508-F4BB513F53FF}"/>
  <tableColumns count="3">
    <tableColumn id="1" xr3:uid="{2C48F6AF-0999-4A95-9051-8FD8F360A1E3}" name="Invoice No" dataDxfId="34"/>
    <tableColumn id="2" xr3:uid="{335CE16A-FC60-49D2-9E8D-4E029839E82A}" name="Date" dataDxfId="31"/>
    <tableColumn id="3" xr3:uid="{8A7B6ADB-116C-4C0D-952B-EE95BFC05534}" name="Sales Amount" dataDxfId="30">
      <calculatedColumnFormula>RANDBETWEEN(8000,15000)</calculatedColumnFormula>
    </tableColumn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E39A031-4E76-4087-B968-17A304D00675}" name="Table5" displayName="Table5" ref="D4:F26" totalsRowShown="0" headerRowDxfId="26" headerRowBorderDxfId="28" tableBorderDxfId="29">
  <autoFilter ref="D4:F26" xr:uid="{5E39A031-4E76-4087-B968-17A304D00675}"/>
  <tableColumns count="3">
    <tableColumn id="1" xr3:uid="{6D4FF049-1021-4BF5-85F1-318497D014A4}" name="Employee Name"/>
    <tableColumn id="2" xr3:uid="{C8671F9C-7D2E-48B4-8562-7F26EB8C3A8A}" name="Department"/>
    <tableColumn id="3" xr3:uid="{7C5B0B61-7631-463E-9595-89C1122A5999}" name="Salary" dataDxfId="27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01669EE-2437-4186-B330-B36CC7A9CC3B}" name="Table6" displayName="Table6" ref="D4:I26" totalsRowShown="0" headerRowDxfId="16" dataDxfId="15" headerRowBorderDxfId="24" tableBorderDxfId="25" totalsRowBorderDxfId="23">
  <autoFilter ref="D4:I26" xr:uid="{901669EE-2437-4186-B330-B36CC7A9CC3B}"/>
  <tableColumns count="6">
    <tableColumn id="1" xr3:uid="{26494AD9-6A7A-44D0-8661-64C2C9AF3E9D}" name="Student Name" dataDxfId="22"/>
    <tableColumn id="2" xr3:uid="{48DAACD8-4792-42A3-ACDC-13FC31588FED}" name="Day 1" dataDxfId="21"/>
    <tableColumn id="3" xr3:uid="{02F7212A-3F8D-4338-A5A3-653D1C9F19C2}" name="Day 2" dataDxfId="20"/>
    <tableColumn id="4" xr3:uid="{408FB4EC-5296-48FD-B0C9-C6483F3432D6}" name="Day 3" dataDxfId="19"/>
    <tableColumn id="5" xr3:uid="{336DE8D7-A861-4567-A2F3-0B40CB2A5379}" name="Day 4" dataDxfId="18"/>
    <tableColumn id="6" xr3:uid="{EB4FF07C-A274-43A4-83E2-766AD53058C8}" name="Day 5" dataDxfId="17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19C6A31-3956-44CB-BBFE-BF899661E7C9}" name="Table7" displayName="Table7" ref="C4:D25" totalsRowShown="0" headerRowDxfId="11" headerRowBorderDxfId="13" tableBorderDxfId="14">
  <autoFilter ref="C4:D25" xr:uid="{119C6A31-3956-44CB-BBFE-BF899661E7C9}"/>
  <tableColumns count="2">
    <tableColumn id="1" xr3:uid="{CDD3F3DD-2007-46B4-8DB1-A707699AD4FE}" name="Order ID"/>
    <tableColumn id="2" xr3:uid="{07188244-0436-402D-8ED8-189CC0677D5C}" name="Sales Amount" dataDxfId="12"/>
  </tableColumns>
  <tableStyleInfo name="TableStyleLight1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09B5F1E-25F5-4A94-BAFD-08CA925DA7A6}" name="Table8" displayName="Table8" ref="D4:E26" totalsRowShown="0" headerRowDxfId="6" headerRowBorderDxfId="9" tableBorderDxfId="10">
  <autoFilter ref="D4:E26" xr:uid="{809B5F1E-25F5-4A94-BAFD-08CA925DA7A6}"/>
  <tableColumns count="2">
    <tableColumn id="1" xr3:uid="{42CAE41A-EB22-4CE7-91FE-54457A6845FC}" name="Product" dataDxfId="8"/>
    <tableColumn id="2" xr3:uid="{53F2E7AF-2A0F-484F-9C67-51B4688475E2}" name="Sales Amount" dataDxfId="7">
      <calculatedColumnFormula>RANDBETWEEN(15000,50000)</calculatedColumnFormula>
    </tableColumn>
  </tableColumns>
  <tableStyleInfo name="TableStyleLight1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D8E979F-3099-48D5-AE0E-3E583887A9ED}" name="Table9" displayName="Table9" ref="D4:F24" totalsRowShown="0" headerRowDxfId="0" headerRowBorderDxfId="4" tableBorderDxfId="5">
  <autoFilter ref="D4:F24" xr:uid="{3D8E979F-3099-48D5-AE0E-3E583887A9ED}"/>
  <tableColumns count="3">
    <tableColumn id="1" xr3:uid="{7200986A-4E5B-467B-A66D-DCE8AF805FC8}" name="Roll No" dataDxfId="3"/>
    <tableColumn id="2" xr3:uid="{503295FD-2644-472B-921F-66B6CF0B2F09}" name="Name" dataDxfId="2"/>
    <tableColumn id="3" xr3:uid="{1FC8AB52-4BA8-42B2-973B-29D2612ED949}" name="Marks" dataDxfId="1">
      <calculatedColumnFormula>CHOOSE(RANDBETWEEN(1,5),$F$5,$F$6,$F$7,$F$8,$F$9)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1F47D-90E3-46BC-9D45-205DBAE93D05}">
  <dimension ref="D3:S27"/>
  <sheetViews>
    <sheetView topLeftCell="A7" workbookViewId="0">
      <selection activeCell="D37" sqref="D37"/>
    </sheetView>
  </sheetViews>
  <sheetFormatPr defaultRowHeight="14.4" x14ac:dyDescent="0.3"/>
  <cols>
    <col min="4" max="4" width="19.88671875" customWidth="1"/>
    <col min="5" max="5" width="15.44140625" customWidth="1"/>
    <col min="6" max="6" width="18.88671875" customWidth="1"/>
    <col min="7" max="7" width="13.6640625" customWidth="1"/>
    <col min="8" max="8" width="16.33203125" customWidth="1"/>
  </cols>
  <sheetData>
    <row r="3" spans="4:19" ht="25.8" x14ac:dyDescent="0.5">
      <c r="I3" s="52" t="s">
        <v>0</v>
      </c>
      <c r="J3" s="53"/>
      <c r="K3" s="53"/>
      <c r="L3" s="53"/>
      <c r="M3" s="53"/>
      <c r="N3" s="53"/>
      <c r="O3" s="53"/>
      <c r="P3" s="53"/>
      <c r="Q3" s="53"/>
      <c r="R3" s="53"/>
      <c r="S3" s="53"/>
    </row>
    <row r="7" spans="4:19" ht="15.6" x14ac:dyDescent="0.3">
      <c r="D7" s="12" t="s">
        <v>1</v>
      </c>
      <c r="E7" s="13" t="s">
        <v>2</v>
      </c>
      <c r="F7" s="13" t="s">
        <v>3</v>
      </c>
      <c r="G7" s="13" t="s">
        <v>4</v>
      </c>
      <c r="H7" s="14" t="s">
        <v>5</v>
      </c>
    </row>
    <row r="8" spans="4:19" ht="15.6" x14ac:dyDescent="0.3">
      <c r="D8" s="2" t="s">
        <v>6</v>
      </c>
      <c r="E8" s="2" t="s">
        <v>7</v>
      </c>
      <c r="F8" s="2" t="s">
        <v>8</v>
      </c>
      <c r="G8" s="9">
        <v>32000</v>
      </c>
      <c r="H8" s="3">
        <v>44573</v>
      </c>
    </row>
    <row r="9" spans="4:19" ht="15.6" x14ac:dyDescent="0.3">
      <c r="D9" s="4" t="s">
        <v>9</v>
      </c>
      <c r="E9" s="4" t="s">
        <v>10</v>
      </c>
      <c r="F9" s="4" t="s">
        <v>11</v>
      </c>
      <c r="G9" s="10">
        <v>45000</v>
      </c>
      <c r="H9" s="5">
        <v>44260</v>
      </c>
    </row>
    <row r="10" spans="4:19" ht="15.6" x14ac:dyDescent="0.3">
      <c r="D10" s="2" t="s">
        <v>12</v>
      </c>
      <c r="E10" s="2" t="s">
        <v>13</v>
      </c>
      <c r="F10" s="2" t="s">
        <v>14</v>
      </c>
      <c r="G10" s="9">
        <v>38000</v>
      </c>
      <c r="H10" s="3">
        <v>44030</v>
      </c>
    </row>
    <row r="11" spans="4:19" ht="15.6" x14ac:dyDescent="0.3">
      <c r="D11" s="4" t="s">
        <v>15</v>
      </c>
      <c r="E11" s="4" t="s">
        <v>16</v>
      </c>
      <c r="F11" s="4" t="s">
        <v>11</v>
      </c>
      <c r="G11" s="10">
        <v>52000</v>
      </c>
      <c r="H11" s="5">
        <v>43779</v>
      </c>
    </row>
    <row r="12" spans="4:19" ht="15.6" x14ac:dyDescent="0.3">
      <c r="D12" s="2" t="s">
        <v>17</v>
      </c>
      <c r="E12" s="2" t="s">
        <v>18</v>
      </c>
      <c r="F12" s="2" t="s">
        <v>19</v>
      </c>
      <c r="G12" s="9">
        <v>30000</v>
      </c>
      <c r="H12" s="3">
        <v>45102</v>
      </c>
    </row>
    <row r="13" spans="4:19" ht="15.6" x14ac:dyDescent="0.3">
      <c r="D13" s="6" t="s">
        <v>20</v>
      </c>
      <c r="E13" s="6" t="str">
        <f ca="1">CHOOSE(RANDBETWEEN(1,5),$E$8,$E$9,$E$10,$E$11,$E$12)</f>
        <v>Amit Sharma</v>
      </c>
      <c r="F13" s="2" t="s">
        <v>8</v>
      </c>
      <c r="G13" s="11">
        <v>49971</v>
      </c>
      <c r="H13" s="3">
        <v>44573</v>
      </c>
      <c r="L13" s="8"/>
    </row>
    <row r="14" spans="4:19" ht="15.6" x14ac:dyDescent="0.3">
      <c r="D14" s="7" t="s">
        <v>21</v>
      </c>
      <c r="E14" s="6" t="str">
        <f t="shared" ref="E14:E27" ca="1" si="0">CHOOSE(RANDBETWEEN(1,5),$E$8,$E$9,$E$10,$E$11,$E$12)</f>
        <v>Pooja Singh</v>
      </c>
      <c r="F14" s="4" t="s">
        <v>11</v>
      </c>
      <c r="G14" s="11">
        <v>35892</v>
      </c>
      <c r="H14" s="5">
        <v>44260</v>
      </c>
    </row>
    <row r="15" spans="4:19" ht="15.6" x14ac:dyDescent="0.3">
      <c r="D15" s="6" t="s">
        <v>22</v>
      </c>
      <c r="E15" s="6" t="str">
        <f t="shared" ca="1" si="0"/>
        <v>Pooja Singh</v>
      </c>
      <c r="F15" s="2" t="s">
        <v>14</v>
      </c>
      <c r="G15" s="11">
        <v>35171</v>
      </c>
      <c r="H15" s="3">
        <v>44030</v>
      </c>
    </row>
    <row r="16" spans="4:19" ht="15.6" x14ac:dyDescent="0.3">
      <c r="D16" s="7" t="s">
        <v>23</v>
      </c>
      <c r="E16" s="6" t="str">
        <f t="shared" ca="1" si="0"/>
        <v>Rahul Mehta</v>
      </c>
      <c r="F16" s="4" t="s">
        <v>11</v>
      </c>
      <c r="G16" s="11">
        <v>24652</v>
      </c>
      <c r="H16" s="5">
        <v>43779</v>
      </c>
    </row>
    <row r="17" spans="4:8" ht="15.6" x14ac:dyDescent="0.3">
      <c r="D17" s="6" t="s">
        <v>24</v>
      </c>
      <c r="E17" s="6" t="str">
        <f t="shared" ca="1" si="0"/>
        <v>Amit Sharma</v>
      </c>
      <c r="F17" s="2" t="s">
        <v>19</v>
      </c>
      <c r="G17" s="11">
        <v>42789</v>
      </c>
      <c r="H17" s="3">
        <v>45102</v>
      </c>
    </row>
    <row r="18" spans="4:8" ht="15.6" x14ac:dyDescent="0.3">
      <c r="D18" s="6" t="s">
        <v>25</v>
      </c>
      <c r="E18" s="6" t="str">
        <f t="shared" ca="1" si="0"/>
        <v>Pooja Singh</v>
      </c>
      <c r="F18" s="2" t="s">
        <v>8</v>
      </c>
      <c r="G18" s="11">
        <v>45930</v>
      </c>
      <c r="H18" s="3">
        <v>44573</v>
      </c>
    </row>
    <row r="19" spans="4:8" ht="15.6" x14ac:dyDescent="0.3">
      <c r="D19" s="7" t="s">
        <v>26</v>
      </c>
      <c r="E19" s="6" t="str">
        <f t="shared" ca="1" si="0"/>
        <v>Pooja Singh</v>
      </c>
      <c r="F19" s="4" t="s">
        <v>11</v>
      </c>
      <c r="G19" s="11">
        <v>40179</v>
      </c>
      <c r="H19" s="5">
        <v>44260</v>
      </c>
    </row>
    <row r="20" spans="4:8" ht="15.6" x14ac:dyDescent="0.3">
      <c r="D20" s="6" t="s">
        <v>27</v>
      </c>
      <c r="E20" s="6" t="str">
        <f t="shared" ca="1" si="0"/>
        <v>Rahul Mehta</v>
      </c>
      <c r="F20" s="2" t="s">
        <v>14</v>
      </c>
      <c r="G20" s="11">
        <v>36659</v>
      </c>
      <c r="H20" s="3">
        <v>44030</v>
      </c>
    </row>
    <row r="21" spans="4:8" ht="15.6" x14ac:dyDescent="0.3">
      <c r="D21" s="7" t="s">
        <v>28</v>
      </c>
      <c r="E21" s="6" t="str">
        <f t="shared" ca="1" si="0"/>
        <v>Neha Verma</v>
      </c>
      <c r="F21" s="4" t="s">
        <v>11</v>
      </c>
      <c r="G21" s="11">
        <v>26731</v>
      </c>
      <c r="H21" s="5">
        <v>43779</v>
      </c>
    </row>
    <row r="22" spans="4:8" ht="15.6" x14ac:dyDescent="0.3">
      <c r="D22" s="6" t="s">
        <v>29</v>
      </c>
      <c r="E22" s="6" t="str">
        <f t="shared" ca="1" si="0"/>
        <v>Pooja Singh</v>
      </c>
      <c r="F22" s="2" t="s">
        <v>19</v>
      </c>
      <c r="G22" s="11">
        <v>48415</v>
      </c>
      <c r="H22" s="3">
        <v>45102</v>
      </c>
    </row>
    <row r="23" spans="4:8" ht="15.6" x14ac:dyDescent="0.3">
      <c r="D23" s="6" t="s">
        <v>30</v>
      </c>
      <c r="E23" s="6" t="str">
        <f t="shared" ca="1" si="0"/>
        <v>Pooja Singh</v>
      </c>
      <c r="F23" s="2" t="s">
        <v>8</v>
      </c>
      <c r="G23" s="11">
        <v>26587</v>
      </c>
      <c r="H23" s="3">
        <v>44573</v>
      </c>
    </row>
    <row r="24" spans="4:8" ht="15.6" x14ac:dyDescent="0.3">
      <c r="D24" s="7" t="s">
        <v>31</v>
      </c>
      <c r="E24" s="6" t="str">
        <f t="shared" ca="1" si="0"/>
        <v>Amit Sharma</v>
      </c>
      <c r="F24" s="4" t="s">
        <v>11</v>
      </c>
      <c r="G24" s="11">
        <v>47576</v>
      </c>
      <c r="H24" s="5">
        <v>44260</v>
      </c>
    </row>
    <row r="25" spans="4:8" ht="15.6" x14ac:dyDescent="0.3">
      <c r="D25" s="6" t="s">
        <v>32</v>
      </c>
      <c r="E25" s="6" t="str">
        <f t="shared" ca="1" si="0"/>
        <v>Pooja Singh</v>
      </c>
      <c r="F25" s="2" t="s">
        <v>14</v>
      </c>
      <c r="G25" s="11">
        <v>40693</v>
      </c>
      <c r="H25" s="3">
        <v>44030</v>
      </c>
    </row>
    <row r="26" spans="4:8" ht="15.6" x14ac:dyDescent="0.3">
      <c r="D26" s="7" t="s">
        <v>33</v>
      </c>
      <c r="E26" s="6" t="str">
        <f t="shared" ca="1" si="0"/>
        <v>Pooja Singh</v>
      </c>
      <c r="F26" s="4" t="s">
        <v>11</v>
      </c>
      <c r="G26" s="11">
        <v>35726</v>
      </c>
      <c r="H26" s="5">
        <v>43779</v>
      </c>
    </row>
    <row r="27" spans="4:8" ht="15.6" x14ac:dyDescent="0.3">
      <c r="D27" s="6" t="s">
        <v>34</v>
      </c>
      <c r="E27" s="6" t="str">
        <f t="shared" ca="1" si="0"/>
        <v>Neha Verma</v>
      </c>
      <c r="F27" s="2" t="s">
        <v>19</v>
      </c>
      <c r="G27" s="11">
        <v>27343</v>
      </c>
      <c r="H27" s="3">
        <v>45102</v>
      </c>
    </row>
  </sheetData>
  <mergeCells count="1">
    <mergeCell ref="I3:S3"/>
  </mergeCells>
  <phoneticPr fontId="6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C22C2-0F20-405C-836D-6611D7BCC1E1}">
  <dimension ref="E2:T29"/>
  <sheetViews>
    <sheetView topLeftCell="A7" workbookViewId="0">
      <selection activeCell="K20" sqref="K20"/>
    </sheetView>
  </sheetViews>
  <sheetFormatPr defaultRowHeight="14.4" x14ac:dyDescent="0.3"/>
  <cols>
    <col min="5" max="5" width="33.44140625" customWidth="1"/>
    <col min="6" max="6" width="16" customWidth="1"/>
    <col min="7" max="8" width="19.6640625" customWidth="1"/>
  </cols>
  <sheetData>
    <row r="2" spans="5:20" ht="28.8" x14ac:dyDescent="0.55000000000000004">
      <c r="I2" s="54" t="s">
        <v>35</v>
      </c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</row>
    <row r="5" spans="5:20" ht="23.4" x14ac:dyDescent="0.45">
      <c r="G5" s="56" t="s">
        <v>56</v>
      </c>
      <c r="H5" s="57"/>
      <c r="I5" s="57"/>
      <c r="J5" s="57"/>
      <c r="K5" s="57"/>
    </row>
    <row r="8" spans="5:20" ht="16.2" thickBot="1" x14ac:dyDescent="0.35">
      <c r="E8" s="25" t="s">
        <v>36</v>
      </c>
      <c r="F8" s="26" t="s">
        <v>37</v>
      </c>
      <c r="G8" s="26" t="s">
        <v>38</v>
      </c>
      <c r="H8" s="27" t="s">
        <v>39</v>
      </c>
      <c r="I8" s="28"/>
    </row>
    <row r="9" spans="5:20" ht="16.2" thickBot="1" x14ac:dyDescent="0.35">
      <c r="E9" s="29" t="s">
        <v>40</v>
      </c>
      <c r="F9" s="30" t="s">
        <v>41</v>
      </c>
      <c r="G9" s="30">
        <v>45000</v>
      </c>
      <c r="H9" s="31" t="s">
        <v>42</v>
      </c>
      <c r="I9" s="28"/>
    </row>
    <row r="10" spans="5:20" ht="16.2" thickBot="1" x14ac:dyDescent="0.35">
      <c r="E10" s="32" t="s">
        <v>43</v>
      </c>
      <c r="F10" s="33" t="s">
        <v>44</v>
      </c>
      <c r="G10" s="33">
        <v>1200</v>
      </c>
      <c r="H10" s="34" t="s">
        <v>45</v>
      </c>
      <c r="I10" s="28"/>
    </row>
    <row r="11" spans="5:20" ht="16.2" thickBot="1" x14ac:dyDescent="0.35">
      <c r="E11" s="29" t="s">
        <v>46</v>
      </c>
      <c r="F11" s="30" t="s">
        <v>47</v>
      </c>
      <c r="G11" s="30">
        <v>18000</v>
      </c>
      <c r="H11" s="31" t="s">
        <v>48</v>
      </c>
      <c r="I11" s="28"/>
    </row>
    <row r="12" spans="5:20" ht="16.2" thickBot="1" x14ac:dyDescent="0.35">
      <c r="E12" s="32" t="s">
        <v>49</v>
      </c>
      <c r="F12" s="33" t="s">
        <v>50</v>
      </c>
      <c r="G12" s="33">
        <v>62000</v>
      </c>
      <c r="H12" s="34" t="s">
        <v>51</v>
      </c>
      <c r="I12" s="28"/>
    </row>
    <row r="13" spans="5:20" ht="16.2" thickBot="1" x14ac:dyDescent="0.35">
      <c r="E13" s="29" t="s">
        <v>52</v>
      </c>
      <c r="F13" s="30" t="s">
        <v>41</v>
      </c>
      <c r="G13" s="1">
        <f ca="1">RANDBETWEEN(15000,50000)</f>
        <v>25792</v>
      </c>
      <c r="H13" s="31" t="s">
        <v>42</v>
      </c>
      <c r="I13" s="1"/>
    </row>
    <row r="14" spans="5:20" ht="16.2" thickBot="1" x14ac:dyDescent="0.35">
      <c r="E14" s="32" t="s">
        <v>43</v>
      </c>
      <c r="F14" s="33" t="s">
        <v>44</v>
      </c>
      <c r="G14" s="1">
        <f t="shared" ref="G14:G28" ca="1" si="0">RANDBETWEEN(15000,50000)</f>
        <v>24063</v>
      </c>
      <c r="H14" s="34" t="s">
        <v>45</v>
      </c>
      <c r="I14" s="1"/>
    </row>
    <row r="15" spans="5:20" ht="16.2" thickBot="1" x14ac:dyDescent="0.35">
      <c r="E15" s="29" t="s">
        <v>46</v>
      </c>
      <c r="F15" s="30" t="s">
        <v>47</v>
      </c>
      <c r="G15" s="1">
        <f t="shared" ca="1" si="0"/>
        <v>46749</v>
      </c>
      <c r="H15" s="31" t="s">
        <v>48</v>
      </c>
      <c r="I15" s="1"/>
    </row>
    <row r="16" spans="5:20" ht="16.2" thickBot="1" x14ac:dyDescent="0.35">
      <c r="E16" s="32" t="s">
        <v>49</v>
      </c>
      <c r="F16" s="33" t="s">
        <v>50</v>
      </c>
      <c r="G16" s="1">
        <f t="shared" ca="1" si="0"/>
        <v>34143</v>
      </c>
      <c r="H16" s="34" t="s">
        <v>51</v>
      </c>
      <c r="I16" s="1"/>
    </row>
    <row r="17" spans="5:9" ht="16.2" thickBot="1" x14ac:dyDescent="0.35">
      <c r="E17" s="29" t="s">
        <v>53</v>
      </c>
      <c r="F17" s="30" t="s">
        <v>41</v>
      </c>
      <c r="G17" s="1">
        <f t="shared" ca="1" si="0"/>
        <v>19416</v>
      </c>
      <c r="H17" s="31" t="s">
        <v>42</v>
      </c>
      <c r="I17" s="1"/>
    </row>
    <row r="18" spans="5:9" ht="16.2" thickBot="1" x14ac:dyDescent="0.35">
      <c r="E18" s="32" t="s">
        <v>43</v>
      </c>
      <c r="F18" s="33" t="s">
        <v>44</v>
      </c>
      <c r="G18" s="1">
        <f t="shared" ca="1" si="0"/>
        <v>26807</v>
      </c>
      <c r="H18" s="34" t="s">
        <v>45</v>
      </c>
      <c r="I18" s="1"/>
    </row>
    <row r="19" spans="5:9" ht="16.2" thickBot="1" x14ac:dyDescent="0.35">
      <c r="E19" s="29" t="s">
        <v>46</v>
      </c>
      <c r="F19" s="30" t="s">
        <v>47</v>
      </c>
      <c r="G19" s="1">
        <f t="shared" ca="1" si="0"/>
        <v>34512</v>
      </c>
      <c r="H19" s="31" t="s">
        <v>48</v>
      </c>
      <c r="I19" s="1"/>
    </row>
    <row r="20" spans="5:9" ht="16.2" thickBot="1" x14ac:dyDescent="0.35">
      <c r="E20" s="32" t="s">
        <v>49</v>
      </c>
      <c r="F20" s="33" t="s">
        <v>50</v>
      </c>
      <c r="G20" s="1">
        <f t="shared" ca="1" si="0"/>
        <v>39224</v>
      </c>
      <c r="H20" s="34" t="s">
        <v>51</v>
      </c>
      <c r="I20" s="1"/>
    </row>
    <row r="21" spans="5:9" ht="16.2" thickBot="1" x14ac:dyDescent="0.35">
      <c r="E21" s="29" t="s">
        <v>54</v>
      </c>
      <c r="F21" s="30" t="s">
        <v>41</v>
      </c>
      <c r="G21" s="1">
        <f t="shared" ca="1" si="0"/>
        <v>29978</v>
      </c>
      <c r="H21" s="31" t="s">
        <v>42</v>
      </c>
      <c r="I21" s="1"/>
    </row>
    <row r="22" spans="5:9" ht="16.2" thickBot="1" x14ac:dyDescent="0.35">
      <c r="E22" s="32" t="s">
        <v>43</v>
      </c>
      <c r="F22" s="33" t="s">
        <v>44</v>
      </c>
      <c r="G22" s="1">
        <f t="shared" ca="1" si="0"/>
        <v>37925</v>
      </c>
      <c r="H22" s="34" t="s">
        <v>45</v>
      </c>
      <c r="I22" s="1"/>
    </row>
    <row r="23" spans="5:9" ht="16.2" thickBot="1" x14ac:dyDescent="0.35">
      <c r="E23" s="29" t="s">
        <v>46</v>
      </c>
      <c r="F23" s="30" t="s">
        <v>47</v>
      </c>
      <c r="G23" s="1">
        <f t="shared" ca="1" si="0"/>
        <v>37380</v>
      </c>
      <c r="H23" s="31" t="s">
        <v>48</v>
      </c>
      <c r="I23" s="1"/>
    </row>
    <row r="24" spans="5:9" ht="16.2" thickBot="1" x14ac:dyDescent="0.35">
      <c r="E24" s="32" t="s">
        <v>49</v>
      </c>
      <c r="F24" s="33" t="s">
        <v>50</v>
      </c>
      <c r="G24" s="1">
        <f t="shared" ca="1" si="0"/>
        <v>45270</v>
      </c>
      <c r="H24" s="34" t="s">
        <v>51</v>
      </c>
      <c r="I24" s="1"/>
    </row>
    <row r="25" spans="5:9" ht="16.2" thickBot="1" x14ac:dyDescent="0.35">
      <c r="E25" s="29" t="s">
        <v>55</v>
      </c>
      <c r="F25" s="30" t="s">
        <v>41</v>
      </c>
      <c r="G25" s="1">
        <f t="shared" ca="1" si="0"/>
        <v>19328</v>
      </c>
      <c r="H25" s="31" t="s">
        <v>42</v>
      </c>
      <c r="I25" s="1"/>
    </row>
    <row r="26" spans="5:9" ht="16.2" thickBot="1" x14ac:dyDescent="0.35">
      <c r="E26" s="32" t="s">
        <v>43</v>
      </c>
      <c r="F26" s="33" t="s">
        <v>44</v>
      </c>
      <c r="G26" s="1">
        <f t="shared" ca="1" si="0"/>
        <v>30765</v>
      </c>
      <c r="H26" s="34" t="s">
        <v>45</v>
      </c>
      <c r="I26" s="1"/>
    </row>
    <row r="27" spans="5:9" ht="16.2" thickBot="1" x14ac:dyDescent="0.35">
      <c r="E27" s="29" t="s">
        <v>46</v>
      </c>
      <c r="F27" s="30" t="s">
        <v>47</v>
      </c>
      <c r="G27" s="1">
        <f t="shared" ca="1" si="0"/>
        <v>34469</v>
      </c>
      <c r="H27" s="31" t="s">
        <v>48</v>
      </c>
      <c r="I27" s="1"/>
    </row>
    <row r="28" spans="5:9" ht="16.2" thickBot="1" x14ac:dyDescent="0.35">
      <c r="E28" s="32" t="s">
        <v>49</v>
      </c>
      <c r="F28" s="33" t="s">
        <v>50</v>
      </c>
      <c r="G28" s="1">
        <f t="shared" ca="1" si="0"/>
        <v>41014</v>
      </c>
      <c r="H28" s="34" t="s">
        <v>51</v>
      </c>
      <c r="I28" s="1"/>
    </row>
    <row r="29" spans="5:9" ht="16.2" thickBot="1" x14ac:dyDescent="0.35">
      <c r="E29" s="15"/>
    </row>
  </sheetData>
  <mergeCells count="2">
    <mergeCell ref="I2:T2"/>
    <mergeCell ref="G5:K5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2EAA9-BEE7-47DB-BA60-37D3D34DED41}">
  <dimension ref="E2:AB25"/>
  <sheetViews>
    <sheetView topLeftCell="A4" workbookViewId="0">
      <selection activeCell="N11" sqref="N11"/>
    </sheetView>
  </sheetViews>
  <sheetFormatPr defaultRowHeight="14.4" x14ac:dyDescent="0.3"/>
  <cols>
    <col min="5" max="5" width="14.44140625" customWidth="1"/>
    <col min="6" max="6" width="22.33203125" customWidth="1"/>
    <col min="7" max="8" width="15.33203125" customWidth="1"/>
    <col min="9" max="9" width="15.109375" customWidth="1"/>
    <col min="10" max="10" width="19.109375" customWidth="1"/>
    <col min="18" max="18" width="9.109375" customWidth="1"/>
  </cols>
  <sheetData>
    <row r="2" spans="5:28" ht="28.8" x14ac:dyDescent="0.55000000000000004">
      <c r="G2" s="50" t="s">
        <v>57</v>
      </c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49"/>
      <c r="T2" s="49"/>
      <c r="U2" s="49"/>
      <c r="V2" s="49"/>
      <c r="W2" s="49"/>
      <c r="X2" s="49"/>
      <c r="Y2" s="49"/>
      <c r="Z2" s="49"/>
      <c r="AA2" s="49"/>
      <c r="AB2" s="49"/>
    </row>
    <row r="5" spans="5:28" ht="16.2" thickBot="1" x14ac:dyDescent="0.35">
      <c r="E5" s="39" t="s">
        <v>58</v>
      </c>
      <c r="F5" s="40" t="s">
        <v>59</v>
      </c>
      <c r="G5" s="40" t="s">
        <v>60</v>
      </c>
      <c r="H5" s="40" t="s">
        <v>61</v>
      </c>
      <c r="I5" s="40" t="s">
        <v>62</v>
      </c>
      <c r="J5" s="41" t="s">
        <v>63</v>
      </c>
    </row>
    <row r="6" spans="5:28" ht="16.2" thickBot="1" x14ac:dyDescent="0.35">
      <c r="E6" s="16">
        <v>1</v>
      </c>
      <c r="F6" s="17" t="s">
        <v>64</v>
      </c>
      <c r="G6" s="17">
        <v>78</v>
      </c>
      <c r="H6" s="17">
        <v>82</v>
      </c>
      <c r="I6" s="17">
        <v>74</v>
      </c>
      <c r="J6" s="36">
        <f>(G6+H6+I6)/300</f>
        <v>0.78</v>
      </c>
    </row>
    <row r="7" spans="5:28" ht="16.2" thickBot="1" x14ac:dyDescent="0.35">
      <c r="E7" s="18">
        <v>2</v>
      </c>
      <c r="F7" s="19" t="s">
        <v>65</v>
      </c>
      <c r="G7" s="19">
        <v>65</v>
      </c>
      <c r="H7" s="19">
        <v>70</v>
      </c>
      <c r="I7" s="19">
        <v>68</v>
      </c>
      <c r="J7" s="36">
        <f t="shared" ref="J7:J25" si="0">(G7+H7+I7)/300</f>
        <v>0.67666666666666664</v>
      </c>
    </row>
    <row r="8" spans="5:28" ht="16.2" thickBot="1" x14ac:dyDescent="0.35">
      <c r="E8" s="16">
        <v>3</v>
      </c>
      <c r="F8" s="17" t="s">
        <v>66</v>
      </c>
      <c r="G8" s="17">
        <v>90</v>
      </c>
      <c r="H8" s="17">
        <v>88</v>
      </c>
      <c r="I8" s="17">
        <v>92</v>
      </c>
      <c r="J8" s="36">
        <f t="shared" si="0"/>
        <v>0.9</v>
      </c>
    </row>
    <row r="9" spans="5:28" ht="16.2" thickBot="1" x14ac:dyDescent="0.35">
      <c r="E9" s="18">
        <v>4</v>
      </c>
      <c r="F9" s="19" t="s">
        <v>67</v>
      </c>
      <c r="G9" s="19">
        <v>35</v>
      </c>
      <c r="H9" s="19">
        <v>40</v>
      </c>
      <c r="I9" s="19">
        <v>38</v>
      </c>
      <c r="J9" s="36">
        <f t="shared" si="0"/>
        <v>0.37666666666666665</v>
      </c>
    </row>
    <row r="10" spans="5:28" ht="16.2" thickBot="1" x14ac:dyDescent="0.35">
      <c r="E10" s="16">
        <v>5</v>
      </c>
      <c r="F10" s="17" t="s">
        <v>68</v>
      </c>
      <c r="G10" s="17">
        <v>55</v>
      </c>
      <c r="H10" s="17">
        <v>60</v>
      </c>
      <c r="I10" s="17">
        <v>58</v>
      </c>
      <c r="J10" s="36">
        <f t="shared" si="0"/>
        <v>0.57666666666666666</v>
      </c>
    </row>
    <row r="11" spans="5:28" ht="16.2" thickBot="1" x14ac:dyDescent="0.35">
      <c r="E11" s="20">
        <v>6</v>
      </c>
      <c r="F11" s="21" t="s">
        <v>64</v>
      </c>
      <c r="G11" s="35">
        <f ca="1">RANDBETWEEN(33,100)</f>
        <v>66</v>
      </c>
      <c r="H11" s="22">
        <f ca="1">RANDBETWEEN(33,100)</f>
        <v>55</v>
      </c>
      <c r="I11" s="22">
        <f ca="1">RANDBETWEEN(33,100)</f>
        <v>88</v>
      </c>
      <c r="J11" s="36">
        <f t="shared" ca="1" si="0"/>
        <v>0.69666666666666666</v>
      </c>
    </row>
    <row r="12" spans="5:28" ht="16.2" thickBot="1" x14ac:dyDescent="0.35">
      <c r="E12" s="23">
        <v>7</v>
      </c>
      <c r="F12" s="24" t="s">
        <v>65</v>
      </c>
      <c r="G12" s="35">
        <f t="shared" ref="G12:I25" ca="1" si="1">RANDBETWEEN(33,100)</f>
        <v>75</v>
      </c>
      <c r="H12" s="22">
        <f t="shared" ca="1" si="1"/>
        <v>82</v>
      </c>
      <c r="I12" s="22">
        <f t="shared" ca="1" si="1"/>
        <v>73</v>
      </c>
      <c r="J12" s="36">
        <f t="shared" ca="1" si="0"/>
        <v>0.76666666666666672</v>
      </c>
    </row>
    <row r="13" spans="5:28" ht="16.2" thickBot="1" x14ac:dyDescent="0.35">
      <c r="E13" s="20">
        <v>8</v>
      </c>
      <c r="F13" s="21" t="s">
        <v>66</v>
      </c>
      <c r="G13" s="35">
        <f t="shared" ca="1" si="1"/>
        <v>42</v>
      </c>
      <c r="H13" s="22">
        <f t="shared" ca="1" si="1"/>
        <v>81</v>
      </c>
      <c r="I13" s="22">
        <f t="shared" ca="1" si="1"/>
        <v>34</v>
      </c>
      <c r="J13" s="36">
        <f t="shared" ca="1" si="0"/>
        <v>0.52333333333333332</v>
      </c>
    </row>
    <row r="14" spans="5:28" ht="16.2" thickBot="1" x14ac:dyDescent="0.35">
      <c r="E14" s="23">
        <v>9</v>
      </c>
      <c r="F14" s="24" t="s">
        <v>67</v>
      </c>
      <c r="G14" s="35">
        <f t="shared" ca="1" si="1"/>
        <v>89</v>
      </c>
      <c r="H14" s="22">
        <f t="shared" ca="1" si="1"/>
        <v>33</v>
      </c>
      <c r="I14" s="22">
        <f t="shared" ca="1" si="1"/>
        <v>75</v>
      </c>
      <c r="J14" s="36">
        <f t="shared" ca="1" si="0"/>
        <v>0.65666666666666662</v>
      </c>
    </row>
    <row r="15" spans="5:28" ht="16.2" thickBot="1" x14ac:dyDescent="0.35">
      <c r="E15" s="20">
        <v>10</v>
      </c>
      <c r="F15" s="21" t="s">
        <v>68</v>
      </c>
      <c r="G15" s="35">
        <f t="shared" ca="1" si="1"/>
        <v>95</v>
      </c>
      <c r="H15" s="22">
        <f t="shared" ca="1" si="1"/>
        <v>54</v>
      </c>
      <c r="I15" s="22">
        <f t="shared" ca="1" si="1"/>
        <v>44</v>
      </c>
      <c r="J15" s="36">
        <f t="shared" ca="1" si="0"/>
        <v>0.64333333333333331</v>
      </c>
    </row>
    <row r="16" spans="5:28" ht="16.2" thickBot="1" x14ac:dyDescent="0.35">
      <c r="E16" s="20">
        <v>11</v>
      </c>
      <c r="F16" s="21" t="s">
        <v>64</v>
      </c>
      <c r="G16" s="35">
        <f t="shared" ca="1" si="1"/>
        <v>94</v>
      </c>
      <c r="H16" s="22">
        <f t="shared" ca="1" si="1"/>
        <v>60</v>
      </c>
      <c r="I16" s="22">
        <f t="shared" ca="1" si="1"/>
        <v>87</v>
      </c>
      <c r="J16" s="36">
        <f t="shared" ca="1" si="0"/>
        <v>0.80333333333333334</v>
      </c>
    </row>
    <row r="17" spans="5:10" ht="16.2" thickBot="1" x14ac:dyDescent="0.35">
      <c r="E17" s="23">
        <v>12</v>
      </c>
      <c r="F17" s="24" t="s">
        <v>65</v>
      </c>
      <c r="G17" s="35">
        <f t="shared" ca="1" si="1"/>
        <v>95</v>
      </c>
      <c r="H17" s="22">
        <f t="shared" ca="1" si="1"/>
        <v>48</v>
      </c>
      <c r="I17" s="22">
        <f t="shared" ca="1" si="1"/>
        <v>40</v>
      </c>
      <c r="J17" s="36">
        <f t="shared" ca="1" si="0"/>
        <v>0.61</v>
      </c>
    </row>
    <row r="18" spans="5:10" ht="16.2" thickBot="1" x14ac:dyDescent="0.35">
      <c r="E18" s="20">
        <v>13</v>
      </c>
      <c r="F18" s="21" t="s">
        <v>66</v>
      </c>
      <c r="G18" s="35">
        <f t="shared" ca="1" si="1"/>
        <v>66</v>
      </c>
      <c r="H18" s="22">
        <f t="shared" ca="1" si="1"/>
        <v>48</v>
      </c>
      <c r="I18" s="22">
        <f t="shared" ca="1" si="1"/>
        <v>68</v>
      </c>
      <c r="J18" s="36">
        <f t="shared" ca="1" si="0"/>
        <v>0.60666666666666669</v>
      </c>
    </row>
    <row r="19" spans="5:10" ht="16.2" thickBot="1" x14ac:dyDescent="0.35">
      <c r="E19" s="23">
        <v>14</v>
      </c>
      <c r="F19" s="24" t="s">
        <v>67</v>
      </c>
      <c r="G19" s="35">
        <f t="shared" ca="1" si="1"/>
        <v>94</v>
      </c>
      <c r="H19" s="22">
        <f t="shared" ca="1" si="1"/>
        <v>71</v>
      </c>
      <c r="I19" s="22">
        <f t="shared" ca="1" si="1"/>
        <v>86</v>
      </c>
      <c r="J19" s="36">
        <f t="shared" ca="1" si="0"/>
        <v>0.83666666666666667</v>
      </c>
    </row>
    <row r="20" spans="5:10" ht="16.2" thickBot="1" x14ac:dyDescent="0.35">
      <c r="E20" s="20">
        <v>15</v>
      </c>
      <c r="F20" s="21" t="s">
        <v>68</v>
      </c>
      <c r="G20" s="35">
        <f t="shared" ca="1" si="1"/>
        <v>95</v>
      </c>
      <c r="H20" s="22">
        <f t="shared" ca="1" si="1"/>
        <v>79</v>
      </c>
      <c r="I20" s="22">
        <f t="shared" ca="1" si="1"/>
        <v>70</v>
      </c>
      <c r="J20" s="36">
        <f t="shared" ca="1" si="0"/>
        <v>0.81333333333333335</v>
      </c>
    </row>
    <row r="21" spans="5:10" ht="16.2" thickBot="1" x14ac:dyDescent="0.35">
      <c r="E21" s="20">
        <v>16</v>
      </c>
      <c r="F21" s="21" t="s">
        <v>64</v>
      </c>
      <c r="G21" s="35">
        <f t="shared" ca="1" si="1"/>
        <v>58</v>
      </c>
      <c r="H21" s="22">
        <f t="shared" ca="1" si="1"/>
        <v>95</v>
      </c>
      <c r="I21" s="22">
        <f t="shared" ca="1" si="1"/>
        <v>86</v>
      </c>
      <c r="J21" s="36">
        <f t="shared" ca="1" si="0"/>
        <v>0.79666666666666663</v>
      </c>
    </row>
    <row r="22" spans="5:10" ht="16.2" thickBot="1" x14ac:dyDescent="0.35">
      <c r="E22" s="23">
        <v>17</v>
      </c>
      <c r="F22" s="24" t="s">
        <v>65</v>
      </c>
      <c r="G22" s="35">
        <f t="shared" ca="1" si="1"/>
        <v>78</v>
      </c>
      <c r="H22" s="22">
        <f t="shared" ca="1" si="1"/>
        <v>58</v>
      </c>
      <c r="I22" s="22">
        <f t="shared" ca="1" si="1"/>
        <v>62</v>
      </c>
      <c r="J22" s="36">
        <f t="shared" ca="1" si="0"/>
        <v>0.66</v>
      </c>
    </row>
    <row r="23" spans="5:10" ht="16.2" thickBot="1" x14ac:dyDescent="0.35">
      <c r="E23" s="20">
        <v>18</v>
      </c>
      <c r="F23" s="21" t="s">
        <v>66</v>
      </c>
      <c r="G23" s="35">
        <f t="shared" ca="1" si="1"/>
        <v>66</v>
      </c>
      <c r="H23" s="22">
        <f t="shared" ca="1" si="1"/>
        <v>79</v>
      </c>
      <c r="I23" s="22">
        <f t="shared" ca="1" si="1"/>
        <v>72</v>
      </c>
      <c r="J23" s="36">
        <f t="shared" ca="1" si="0"/>
        <v>0.72333333333333338</v>
      </c>
    </row>
    <row r="24" spans="5:10" ht="16.2" thickBot="1" x14ac:dyDescent="0.35">
      <c r="E24" s="23">
        <v>19</v>
      </c>
      <c r="F24" s="24" t="s">
        <v>67</v>
      </c>
      <c r="G24" s="35">
        <f t="shared" ca="1" si="1"/>
        <v>86</v>
      </c>
      <c r="H24" s="22">
        <f t="shared" ca="1" si="1"/>
        <v>36</v>
      </c>
      <c r="I24" s="22">
        <f t="shared" ca="1" si="1"/>
        <v>75</v>
      </c>
      <c r="J24" s="36">
        <f t="shared" ca="1" si="0"/>
        <v>0.65666666666666662</v>
      </c>
    </row>
    <row r="25" spans="5:10" ht="16.2" thickBot="1" x14ac:dyDescent="0.35">
      <c r="E25" s="20">
        <v>20</v>
      </c>
      <c r="F25" s="21" t="s">
        <v>68</v>
      </c>
      <c r="G25" s="35">
        <f t="shared" ca="1" si="1"/>
        <v>66</v>
      </c>
      <c r="H25" s="22">
        <f t="shared" ca="1" si="1"/>
        <v>34</v>
      </c>
      <c r="I25" s="22">
        <f t="shared" ca="1" si="1"/>
        <v>35</v>
      </c>
      <c r="J25" s="36">
        <f t="shared" ca="1" si="0"/>
        <v>0.45</v>
      </c>
    </row>
  </sheetData>
  <mergeCells count="2">
    <mergeCell ref="S2:AB2"/>
    <mergeCell ref="G2:R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AC949-E8F5-47A8-A686-CE1D491CB5DA}">
  <dimension ref="D3:T32"/>
  <sheetViews>
    <sheetView topLeftCell="A7" workbookViewId="0">
      <selection activeCell="H10" sqref="H10"/>
    </sheetView>
  </sheetViews>
  <sheetFormatPr defaultRowHeight="14.4" x14ac:dyDescent="0.3"/>
  <cols>
    <col min="4" max="4" width="17.44140625" customWidth="1"/>
    <col min="5" max="5" width="19.88671875" customWidth="1"/>
    <col min="6" max="6" width="21.6640625" customWidth="1"/>
  </cols>
  <sheetData>
    <row r="3" spans="4:20" ht="28.8" x14ac:dyDescent="0.55000000000000004">
      <c r="F3" s="58" t="s">
        <v>69</v>
      </c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</row>
    <row r="6" spans="4:20" ht="16.2" thickBot="1" x14ac:dyDescent="0.35">
      <c r="D6" s="42" t="s">
        <v>70</v>
      </c>
      <c r="E6" s="43" t="s">
        <v>71</v>
      </c>
      <c r="F6" s="43" t="s">
        <v>38</v>
      </c>
    </row>
    <row r="7" spans="4:20" ht="16.2" thickBot="1" x14ac:dyDescent="0.35">
      <c r="D7" s="20" t="s">
        <v>72</v>
      </c>
      <c r="E7" s="37">
        <v>45292</v>
      </c>
      <c r="F7" s="61">
        <v>12000</v>
      </c>
    </row>
    <row r="8" spans="4:20" ht="16.2" thickBot="1" x14ac:dyDescent="0.35">
      <c r="D8" s="23" t="s">
        <v>73</v>
      </c>
      <c r="E8" s="38">
        <v>45294</v>
      </c>
      <c r="F8" s="62">
        <v>25000</v>
      </c>
    </row>
    <row r="9" spans="4:20" ht="16.2" thickBot="1" x14ac:dyDescent="0.35">
      <c r="D9" s="20" t="s">
        <v>74</v>
      </c>
      <c r="E9" s="37">
        <v>45296</v>
      </c>
      <c r="F9" s="61">
        <v>8000</v>
      </c>
    </row>
    <row r="10" spans="4:20" ht="16.2" thickBot="1" x14ac:dyDescent="0.35">
      <c r="D10" s="23" t="s">
        <v>75</v>
      </c>
      <c r="E10" s="38">
        <v>45299</v>
      </c>
      <c r="F10" s="62">
        <v>32000</v>
      </c>
    </row>
    <row r="11" spans="4:20" ht="16.2" thickBot="1" x14ac:dyDescent="0.35">
      <c r="D11" s="20" t="s">
        <v>76</v>
      </c>
      <c r="E11" s="37">
        <v>45301</v>
      </c>
      <c r="F11" s="61">
        <v>15000</v>
      </c>
    </row>
    <row r="12" spans="4:20" ht="16.2" thickBot="1" x14ac:dyDescent="0.35">
      <c r="D12" s="20" t="s">
        <v>77</v>
      </c>
      <c r="E12" s="37">
        <v>45292</v>
      </c>
      <c r="F12" s="63">
        <f ca="1">RANDBETWEEN(8000,15000)</f>
        <v>9381</v>
      </c>
    </row>
    <row r="13" spans="4:20" ht="16.2" thickBot="1" x14ac:dyDescent="0.35">
      <c r="D13" s="23" t="s">
        <v>78</v>
      </c>
      <c r="E13" s="38">
        <v>45294</v>
      </c>
      <c r="F13" s="63">
        <f t="shared" ref="F13:F26" ca="1" si="0">RANDBETWEEN(8000,15000)</f>
        <v>13361</v>
      </c>
    </row>
    <row r="14" spans="4:20" ht="16.2" thickBot="1" x14ac:dyDescent="0.35">
      <c r="D14" s="20" t="s">
        <v>79</v>
      </c>
      <c r="E14" s="37">
        <v>45296</v>
      </c>
      <c r="F14" s="63">
        <f t="shared" ca="1" si="0"/>
        <v>14673</v>
      </c>
    </row>
    <row r="15" spans="4:20" ht="16.2" thickBot="1" x14ac:dyDescent="0.35">
      <c r="D15" s="23" t="s">
        <v>80</v>
      </c>
      <c r="E15" s="38">
        <v>45299</v>
      </c>
      <c r="F15" s="63">
        <f t="shared" ca="1" si="0"/>
        <v>9350</v>
      </c>
    </row>
    <row r="16" spans="4:20" ht="16.2" thickBot="1" x14ac:dyDescent="0.35">
      <c r="D16" s="20" t="s">
        <v>81</v>
      </c>
      <c r="E16" s="37">
        <v>45301</v>
      </c>
      <c r="F16" s="63">
        <f t="shared" ca="1" si="0"/>
        <v>14575</v>
      </c>
    </row>
    <row r="17" spans="4:6" ht="16.2" thickBot="1" x14ac:dyDescent="0.35">
      <c r="D17" s="20" t="s">
        <v>82</v>
      </c>
      <c r="E17" s="37">
        <v>45292</v>
      </c>
      <c r="F17" s="63">
        <f t="shared" ca="1" si="0"/>
        <v>12658</v>
      </c>
    </row>
    <row r="18" spans="4:6" ht="16.2" thickBot="1" x14ac:dyDescent="0.35">
      <c r="D18" s="23" t="s">
        <v>83</v>
      </c>
      <c r="E18" s="38">
        <v>45294</v>
      </c>
      <c r="F18" s="63">
        <f t="shared" ca="1" si="0"/>
        <v>13343</v>
      </c>
    </row>
    <row r="19" spans="4:6" ht="16.2" thickBot="1" x14ac:dyDescent="0.35">
      <c r="D19" s="20" t="s">
        <v>84</v>
      </c>
      <c r="E19" s="37">
        <v>45296</v>
      </c>
      <c r="F19" s="63">
        <f t="shared" ca="1" si="0"/>
        <v>9335</v>
      </c>
    </row>
    <row r="20" spans="4:6" ht="16.2" thickBot="1" x14ac:dyDescent="0.35">
      <c r="D20" s="23" t="s">
        <v>85</v>
      </c>
      <c r="E20" s="38">
        <v>45299</v>
      </c>
      <c r="F20" s="63">
        <f t="shared" ca="1" si="0"/>
        <v>10854</v>
      </c>
    </row>
    <row r="21" spans="4:6" ht="16.2" thickBot="1" x14ac:dyDescent="0.35">
      <c r="D21" s="20" t="s">
        <v>86</v>
      </c>
      <c r="E21" s="37">
        <v>45301</v>
      </c>
      <c r="F21" s="63">
        <f t="shared" ca="1" si="0"/>
        <v>13730</v>
      </c>
    </row>
    <row r="22" spans="4:6" ht="16.2" thickBot="1" x14ac:dyDescent="0.35">
      <c r="D22" s="20" t="s">
        <v>87</v>
      </c>
      <c r="E22" s="37">
        <v>45292</v>
      </c>
      <c r="F22" s="63">
        <f t="shared" ca="1" si="0"/>
        <v>10767</v>
      </c>
    </row>
    <row r="23" spans="4:6" ht="16.2" thickBot="1" x14ac:dyDescent="0.35">
      <c r="D23" s="23" t="s">
        <v>88</v>
      </c>
      <c r="E23" s="38">
        <v>45294</v>
      </c>
      <c r="F23" s="63">
        <f t="shared" ca="1" si="0"/>
        <v>14873</v>
      </c>
    </row>
    <row r="24" spans="4:6" ht="16.2" thickBot="1" x14ac:dyDescent="0.35">
      <c r="D24" s="20" t="s">
        <v>89</v>
      </c>
      <c r="E24" s="37">
        <v>45296</v>
      </c>
      <c r="F24" s="63">
        <f t="shared" ca="1" si="0"/>
        <v>8336</v>
      </c>
    </row>
    <row r="25" spans="4:6" ht="16.2" thickBot="1" x14ac:dyDescent="0.35">
      <c r="D25" s="23" t="s">
        <v>90</v>
      </c>
      <c r="E25" s="38">
        <v>45299</v>
      </c>
      <c r="F25" s="63">
        <f t="shared" ca="1" si="0"/>
        <v>11785</v>
      </c>
    </row>
    <row r="26" spans="4:6" ht="16.2" thickBot="1" x14ac:dyDescent="0.35">
      <c r="D26" s="20" t="s">
        <v>91</v>
      </c>
      <c r="E26" s="37">
        <v>45301</v>
      </c>
      <c r="F26" s="63">
        <f t="shared" ca="1" si="0"/>
        <v>10836</v>
      </c>
    </row>
    <row r="27" spans="4:6" x14ac:dyDescent="0.3">
      <c r="F27" s="60"/>
    </row>
    <row r="28" spans="4:6" ht="15.6" x14ac:dyDescent="0.3">
      <c r="D28" s="45" t="s">
        <v>92</v>
      </c>
      <c r="E28" s="35"/>
      <c r="F28" s="44">
        <f ca="1">SUM(F7:F26)</f>
        <v>269857</v>
      </c>
    </row>
    <row r="29" spans="4:6" ht="15.6" x14ac:dyDescent="0.3">
      <c r="D29" s="46" t="s">
        <v>93</v>
      </c>
      <c r="E29" s="35"/>
      <c r="F29" s="35">
        <f ca="1">AVERAGE(F7:F25)</f>
        <v>13632.684210526315</v>
      </c>
    </row>
    <row r="30" spans="4:6" x14ac:dyDescent="0.3">
      <c r="D30" s="47" t="s">
        <v>94</v>
      </c>
      <c r="E30" s="35"/>
      <c r="F30" s="35">
        <f ca="1">MAX(F7:F26)</f>
        <v>32000</v>
      </c>
    </row>
    <row r="31" spans="4:6" x14ac:dyDescent="0.3">
      <c r="D31" s="47" t="s">
        <v>95</v>
      </c>
      <c r="E31" s="35"/>
      <c r="F31" s="35">
        <f ca="1">MIN(F7:F26)</f>
        <v>8000</v>
      </c>
    </row>
    <row r="32" spans="4:6" x14ac:dyDescent="0.3">
      <c r="D32" s="48"/>
    </row>
  </sheetData>
  <mergeCells count="1">
    <mergeCell ref="F3:T3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4E5D5-20B2-41B0-9267-90BA96EA3183}">
  <dimension ref="D2:O25"/>
  <sheetViews>
    <sheetView tabSelected="1" workbookViewId="0">
      <selection activeCell="K10" sqref="K10:K12"/>
    </sheetView>
  </sheetViews>
  <sheetFormatPr defaultRowHeight="14.4" x14ac:dyDescent="0.3"/>
  <cols>
    <col min="4" max="4" width="17.33203125" customWidth="1"/>
    <col min="5" max="5" width="16.21875" customWidth="1"/>
    <col min="6" max="6" width="11.109375" bestFit="1" customWidth="1"/>
    <col min="11" max="11" width="12.77734375" bestFit="1" customWidth="1"/>
  </cols>
  <sheetData>
    <row r="2" spans="4:15" ht="28.8" x14ac:dyDescent="0.55000000000000004">
      <c r="F2" s="64" t="s">
        <v>96</v>
      </c>
      <c r="G2" s="65"/>
      <c r="H2" s="65"/>
      <c r="I2" s="65"/>
      <c r="J2" s="65"/>
      <c r="K2" s="65"/>
      <c r="L2" s="65"/>
      <c r="M2" s="65"/>
      <c r="N2" s="65"/>
      <c r="O2" s="65"/>
    </row>
    <row r="4" spans="4:15" ht="15" thickBot="1" x14ac:dyDescent="0.35">
      <c r="D4" s="67" t="s">
        <v>97</v>
      </c>
      <c r="E4" s="67" t="s">
        <v>3</v>
      </c>
      <c r="F4" s="67" t="s">
        <v>4</v>
      </c>
    </row>
    <row r="5" spans="4:15" ht="15" thickBot="1" x14ac:dyDescent="0.35">
      <c r="D5" s="17" t="s">
        <v>98</v>
      </c>
      <c r="E5" s="17" t="s">
        <v>8</v>
      </c>
      <c r="F5" s="68">
        <v>28000</v>
      </c>
    </row>
    <row r="6" spans="4:15" ht="15" thickBot="1" x14ac:dyDescent="0.35">
      <c r="D6" s="19" t="s">
        <v>99</v>
      </c>
      <c r="E6" s="19" t="s">
        <v>11</v>
      </c>
      <c r="F6" s="69">
        <v>45000</v>
      </c>
    </row>
    <row r="7" spans="4:15" ht="15" thickBot="1" x14ac:dyDescent="0.35">
      <c r="D7" s="17" t="s">
        <v>100</v>
      </c>
      <c r="E7" s="17" t="s">
        <v>11</v>
      </c>
      <c r="F7" s="68">
        <v>50000</v>
      </c>
    </row>
    <row r="8" spans="4:15" ht="16.2" thickBot="1" x14ac:dyDescent="0.35">
      <c r="D8" s="19" t="s">
        <v>101</v>
      </c>
      <c r="E8" s="19" t="s">
        <v>14</v>
      </c>
      <c r="F8" s="69">
        <v>42000</v>
      </c>
      <c r="I8" s="66" t="s">
        <v>104</v>
      </c>
      <c r="J8" s="65"/>
      <c r="K8" s="65"/>
      <c r="L8" s="65"/>
      <c r="M8" s="65"/>
      <c r="N8" s="65"/>
    </row>
    <row r="9" spans="4:15" ht="15" thickBot="1" x14ac:dyDescent="0.35">
      <c r="D9" s="17" t="s">
        <v>102</v>
      </c>
      <c r="E9" s="17" t="s">
        <v>8</v>
      </c>
      <c r="F9" s="68">
        <v>30000</v>
      </c>
    </row>
    <row r="10" spans="4:15" ht="15" thickBot="1" x14ac:dyDescent="0.35">
      <c r="D10" s="19" t="s">
        <v>103</v>
      </c>
      <c r="E10" s="19" t="s">
        <v>14</v>
      </c>
      <c r="F10" s="69">
        <v>38000</v>
      </c>
      <c r="I10" t="s">
        <v>8</v>
      </c>
      <c r="K10" s="71">
        <f ca="1">SUMIF($E$5:$E$25,E5,$F$5:$F$25)</f>
        <v>169066</v>
      </c>
    </row>
    <row r="11" spans="4:15" ht="15" thickBot="1" x14ac:dyDescent="0.35">
      <c r="D11" s="17" t="s">
        <v>98</v>
      </c>
      <c r="E11" s="17" t="s">
        <v>8</v>
      </c>
      <c r="F11" s="70">
        <f ca="1">RANDBETWEEN(15000,50000)</f>
        <v>36195</v>
      </c>
      <c r="I11" t="s">
        <v>11</v>
      </c>
      <c r="K11" s="71">
        <f ca="1">SUMIF($E$5:$E$25,E7,$F$5:$F$25)</f>
        <v>302678</v>
      </c>
    </row>
    <row r="12" spans="4:15" ht="15" thickBot="1" x14ac:dyDescent="0.35">
      <c r="D12" s="19" t="s">
        <v>99</v>
      </c>
      <c r="E12" s="19" t="s">
        <v>11</v>
      </c>
      <c r="F12" s="70">
        <f t="shared" ref="F12:F25" ca="1" si="0">RANDBETWEEN(15000,50000)</f>
        <v>38740</v>
      </c>
      <c r="I12" t="s">
        <v>14</v>
      </c>
      <c r="K12" s="71">
        <f ca="1">SUMIF($E$5:$E$25,E8,$F$5:$F$25)</f>
        <v>228724</v>
      </c>
    </row>
    <row r="13" spans="4:15" ht="15" thickBot="1" x14ac:dyDescent="0.35">
      <c r="D13" s="17" t="s">
        <v>100</v>
      </c>
      <c r="E13" s="17" t="s">
        <v>11</v>
      </c>
      <c r="F13" s="70">
        <f t="shared" ca="1" si="0"/>
        <v>24986</v>
      </c>
    </row>
    <row r="14" spans="4:15" ht="15" thickBot="1" x14ac:dyDescent="0.35">
      <c r="D14" s="19" t="s">
        <v>101</v>
      </c>
      <c r="E14" s="19" t="s">
        <v>14</v>
      </c>
      <c r="F14" s="70">
        <f t="shared" ca="1" si="0"/>
        <v>41196</v>
      </c>
    </row>
    <row r="15" spans="4:15" ht="16.2" thickBot="1" x14ac:dyDescent="0.35">
      <c r="D15" s="17" t="s">
        <v>102</v>
      </c>
      <c r="E15" s="17" t="s">
        <v>8</v>
      </c>
      <c r="F15" s="70">
        <f t="shared" ca="1" si="0"/>
        <v>22042</v>
      </c>
      <c r="I15" s="66" t="s">
        <v>105</v>
      </c>
      <c r="J15" s="65"/>
      <c r="K15" s="65"/>
      <c r="L15" s="65"/>
      <c r="M15" s="65"/>
      <c r="N15" s="65"/>
    </row>
    <row r="16" spans="4:15" ht="15" thickBot="1" x14ac:dyDescent="0.35">
      <c r="D16" s="19" t="s">
        <v>103</v>
      </c>
      <c r="E16" s="19" t="s">
        <v>14</v>
      </c>
      <c r="F16" s="70">
        <f t="shared" ca="1" si="0"/>
        <v>43180</v>
      </c>
    </row>
    <row r="17" spans="4:14" ht="15" thickBot="1" x14ac:dyDescent="0.35">
      <c r="D17" s="17" t="s">
        <v>98</v>
      </c>
      <c r="E17" s="17" t="s">
        <v>8</v>
      </c>
      <c r="F17" s="70">
        <f t="shared" ca="1" si="0"/>
        <v>21221</v>
      </c>
      <c r="J17">
        <f ca="1">AVERAGE(F5:F25)</f>
        <v>33355.619047619046</v>
      </c>
    </row>
    <row r="18" spans="4:14" ht="15" thickBot="1" x14ac:dyDescent="0.35">
      <c r="D18" s="19" t="s">
        <v>99</v>
      </c>
      <c r="E18" s="19" t="s">
        <v>11</v>
      </c>
      <c r="F18" s="70">
        <f t="shared" ca="1" si="0"/>
        <v>30380</v>
      </c>
    </row>
    <row r="19" spans="4:14" ht="15" thickBot="1" x14ac:dyDescent="0.35">
      <c r="D19" s="17" t="s">
        <v>100</v>
      </c>
      <c r="E19" s="17" t="s">
        <v>11</v>
      </c>
      <c r="F19" s="70">
        <f t="shared" ca="1" si="0"/>
        <v>35530</v>
      </c>
    </row>
    <row r="20" spans="4:14" ht="16.2" thickBot="1" x14ac:dyDescent="0.35">
      <c r="D20" s="19" t="s">
        <v>101</v>
      </c>
      <c r="E20" s="19" t="s">
        <v>14</v>
      </c>
      <c r="F20" s="70">
        <f t="shared" ca="1" si="0"/>
        <v>48331</v>
      </c>
      <c r="I20" s="66" t="s">
        <v>106</v>
      </c>
      <c r="J20" s="65"/>
      <c r="K20" s="65"/>
      <c r="L20" s="65"/>
      <c r="M20" s="65"/>
      <c r="N20" s="65"/>
    </row>
    <row r="21" spans="4:14" ht="15" thickBot="1" x14ac:dyDescent="0.35">
      <c r="D21" s="17" t="s">
        <v>102</v>
      </c>
      <c r="E21" s="17" t="s">
        <v>8</v>
      </c>
      <c r="F21" s="70">
        <f t="shared" ca="1" si="0"/>
        <v>15771</v>
      </c>
      <c r="J21">
        <f>COUNTA(D5:D25)</f>
        <v>21</v>
      </c>
    </row>
    <row r="22" spans="4:14" ht="15" thickBot="1" x14ac:dyDescent="0.35">
      <c r="D22" s="19" t="s">
        <v>103</v>
      </c>
      <c r="E22" s="19" t="s">
        <v>14</v>
      </c>
      <c r="F22" s="70">
        <f t="shared" ca="1" si="0"/>
        <v>16017</v>
      </c>
    </row>
    <row r="23" spans="4:14" ht="15" thickBot="1" x14ac:dyDescent="0.35">
      <c r="D23" s="17" t="s">
        <v>98</v>
      </c>
      <c r="E23" s="17" t="s">
        <v>8</v>
      </c>
      <c r="F23" s="70">
        <f t="shared" ca="1" si="0"/>
        <v>15837</v>
      </c>
    </row>
    <row r="24" spans="4:14" ht="15" thickBot="1" x14ac:dyDescent="0.35">
      <c r="D24" s="19" t="s">
        <v>99</v>
      </c>
      <c r="E24" s="19" t="s">
        <v>11</v>
      </c>
      <c r="F24" s="70">
        <f t="shared" ca="1" si="0"/>
        <v>29635</v>
      </c>
    </row>
    <row r="25" spans="4:14" ht="15" thickBot="1" x14ac:dyDescent="0.35">
      <c r="D25" s="17" t="s">
        <v>100</v>
      </c>
      <c r="E25" s="17" t="s">
        <v>11</v>
      </c>
      <c r="F25" s="70">
        <f t="shared" ca="1" si="0"/>
        <v>48407</v>
      </c>
    </row>
  </sheetData>
  <mergeCells count="4">
    <mergeCell ref="F2:O2"/>
    <mergeCell ref="I8:N8"/>
    <mergeCell ref="I15:N15"/>
    <mergeCell ref="I20:N20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B46AB-E130-43EA-9844-EBE1AB3B2AA9}">
  <dimension ref="D2:O26"/>
  <sheetViews>
    <sheetView topLeftCell="A3" workbookViewId="0">
      <selection activeCell="M16" sqref="M16"/>
    </sheetView>
  </sheetViews>
  <sheetFormatPr defaultRowHeight="14.4" x14ac:dyDescent="0.3"/>
  <cols>
    <col min="4" max="4" width="17.6640625" customWidth="1"/>
    <col min="5" max="5" width="11.6640625" customWidth="1"/>
    <col min="6" max="6" width="11.77734375" customWidth="1"/>
    <col min="7" max="7" width="11.21875" customWidth="1"/>
    <col min="8" max="8" width="12.21875" customWidth="1"/>
    <col min="9" max="9" width="11.21875" customWidth="1"/>
  </cols>
  <sheetData>
    <row r="2" spans="4:15" ht="28.8" x14ac:dyDescent="0.55000000000000004">
      <c r="F2" s="72" t="s">
        <v>107</v>
      </c>
      <c r="G2" s="73"/>
      <c r="H2" s="73"/>
      <c r="I2" s="73"/>
      <c r="J2" s="73"/>
      <c r="K2" s="73"/>
      <c r="L2" s="73"/>
      <c r="M2" s="73"/>
      <c r="N2" s="73"/>
    </row>
    <row r="4" spans="4:15" ht="15" thickBot="1" x14ac:dyDescent="0.35">
      <c r="D4" s="75" t="s">
        <v>59</v>
      </c>
      <c r="E4" s="67" t="s">
        <v>108</v>
      </c>
      <c r="F4" s="67" t="s">
        <v>109</v>
      </c>
      <c r="G4" s="67" t="s">
        <v>110</v>
      </c>
      <c r="H4" s="67" t="s">
        <v>111</v>
      </c>
      <c r="I4" s="76" t="s">
        <v>112</v>
      </c>
    </row>
    <row r="5" spans="4:15" ht="15" thickBot="1" x14ac:dyDescent="0.35">
      <c r="D5" s="16" t="s">
        <v>64</v>
      </c>
      <c r="E5" s="17" t="s">
        <v>113</v>
      </c>
      <c r="F5" s="17" t="s">
        <v>114</v>
      </c>
      <c r="G5" s="17" t="s">
        <v>113</v>
      </c>
      <c r="H5" s="17" t="s">
        <v>113</v>
      </c>
      <c r="I5" s="77" t="s">
        <v>113</v>
      </c>
    </row>
    <row r="6" spans="4:15" ht="15" thickBot="1" x14ac:dyDescent="0.35">
      <c r="D6" s="18" t="s">
        <v>65</v>
      </c>
      <c r="E6" s="19" t="s">
        <v>113</v>
      </c>
      <c r="F6" s="19" t="s">
        <v>113</v>
      </c>
      <c r="G6" s="19" t="s">
        <v>113</v>
      </c>
      <c r="H6" s="19" t="s">
        <v>114</v>
      </c>
      <c r="I6" s="78" t="s">
        <v>113</v>
      </c>
    </row>
    <row r="7" spans="4:15" ht="15" thickBot="1" x14ac:dyDescent="0.35">
      <c r="D7" s="16" t="s">
        <v>66</v>
      </c>
      <c r="E7" s="17" t="s">
        <v>114</v>
      </c>
      <c r="F7" s="17" t="s">
        <v>113</v>
      </c>
      <c r="G7" s="17" t="s">
        <v>113</v>
      </c>
      <c r="H7" s="17" t="s">
        <v>113</v>
      </c>
      <c r="I7" s="77" t="s">
        <v>113</v>
      </c>
      <c r="K7" s="73" t="s">
        <v>115</v>
      </c>
      <c r="L7" s="73"/>
      <c r="M7" s="73"/>
      <c r="N7" s="73"/>
      <c r="O7" s="73"/>
    </row>
    <row r="8" spans="4:15" ht="15" thickBot="1" x14ac:dyDescent="0.35">
      <c r="D8" s="18" t="s">
        <v>67</v>
      </c>
      <c r="E8" s="19" t="s">
        <v>113</v>
      </c>
      <c r="F8" s="19" t="s">
        <v>114</v>
      </c>
      <c r="G8" s="19" t="s">
        <v>114</v>
      </c>
      <c r="H8" s="19" t="s">
        <v>113</v>
      </c>
      <c r="I8" s="78" t="s">
        <v>114</v>
      </c>
    </row>
    <row r="9" spans="4:15" ht="15" thickBot="1" x14ac:dyDescent="0.35">
      <c r="D9" s="16" t="s">
        <v>64</v>
      </c>
      <c r="E9" s="17" t="s">
        <v>113</v>
      </c>
      <c r="F9" s="17" t="s">
        <v>114</v>
      </c>
      <c r="G9" s="17" t="s">
        <v>113</v>
      </c>
      <c r="H9" s="17" t="s">
        <v>113</v>
      </c>
      <c r="I9" s="77" t="s">
        <v>113</v>
      </c>
      <c r="K9">
        <f>COUNTIF(E5:I26,E5)</f>
        <v>78</v>
      </c>
    </row>
    <row r="10" spans="4:15" ht="15" thickBot="1" x14ac:dyDescent="0.35">
      <c r="D10" s="18" t="s">
        <v>65</v>
      </c>
      <c r="E10" s="19" t="s">
        <v>113</v>
      </c>
      <c r="F10" s="19" t="s">
        <v>113</v>
      </c>
      <c r="G10" s="19" t="s">
        <v>113</v>
      </c>
      <c r="H10" s="19" t="s">
        <v>114</v>
      </c>
      <c r="I10" s="78" t="s">
        <v>113</v>
      </c>
    </row>
    <row r="11" spans="4:15" ht="15" thickBot="1" x14ac:dyDescent="0.35">
      <c r="D11" s="16" t="s">
        <v>66</v>
      </c>
      <c r="E11" s="17" t="s">
        <v>114</v>
      </c>
      <c r="F11" s="17" t="s">
        <v>113</v>
      </c>
      <c r="G11" s="17" t="s">
        <v>113</v>
      </c>
      <c r="H11" s="17" t="s">
        <v>113</v>
      </c>
      <c r="I11" s="77" t="s">
        <v>113</v>
      </c>
    </row>
    <row r="12" spans="4:15" ht="16.2" thickBot="1" x14ac:dyDescent="0.35">
      <c r="D12" s="18" t="s">
        <v>67</v>
      </c>
      <c r="E12" s="19" t="s">
        <v>113</v>
      </c>
      <c r="F12" s="19" t="s">
        <v>114</v>
      </c>
      <c r="G12" s="19" t="s">
        <v>114</v>
      </c>
      <c r="H12" s="19" t="s">
        <v>113</v>
      </c>
      <c r="I12" s="78" t="s">
        <v>114</v>
      </c>
      <c r="K12" s="74" t="s">
        <v>116</v>
      </c>
      <c r="L12" s="73"/>
      <c r="M12" s="73"/>
      <c r="N12" s="73"/>
      <c r="O12" s="73"/>
    </row>
    <row r="13" spans="4:15" ht="15" thickBot="1" x14ac:dyDescent="0.35">
      <c r="D13" s="16" t="s">
        <v>64</v>
      </c>
      <c r="E13" s="17" t="s">
        <v>113</v>
      </c>
      <c r="F13" s="17" t="s">
        <v>114</v>
      </c>
      <c r="G13" s="17" t="s">
        <v>113</v>
      </c>
      <c r="H13" s="17" t="s">
        <v>113</v>
      </c>
      <c r="I13" s="77" t="s">
        <v>113</v>
      </c>
    </row>
    <row r="14" spans="4:15" ht="15" thickBot="1" x14ac:dyDescent="0.35">
      <c r="D14" s="18" t="s">
        <v>65</v>
      </c>
      <c r="E14" s="19" t="s">
        <v>113</v>
      </c>
      <c r="F14" s="19" t="s">
        <v>113</v>
      </c>
      <c r="G14" s="19" t="s">
        <v>113</v>
      </c>
      <c r="H14" s="19" t="s">
        <v>114</v>
      </c>
      <c r="I14" s="78" t="s">
        <v>113</v>
      </c>
      <c r="K14">
        <f>COUNTIF(E5:I26,H14)</f>
        <v>32</v>
      </c>
    </row>
    <row r="15" spans="4:15" ht="15" thickBot="1" x14ac:dyDescent="0.35">
      <c r="D15" s="16" t="s">
        <v>66</v>
      </c>
      <c r="E15" s="17" t="s">
        <v>114</v>
      </c>
      <c r="F15" s="17" t="s">
        <v>113</v>
      </c>
      <c r="G15" s="17" t="s">
        <v>113</v>
      </c>
      <c r="H15" s="17" t="s">
        <v>113</v>
      </c>
      <c r="I15" s="77" t="s">
        <v>113</v>
      </c>
    </row>
    <row r="16" spans="4:15" ht="15" thickBot="1" x14ac:dyDescent="0.35">
      <c r="D16" s="18" t="s">
        <v>67</v>
      </c>
      <c r="E16" s="19" t="s">
        <v>113</v>
      </c>
      <c r="F16" s="19" t="s">
        <v>114</v>
      </c>
      <c r="G16" s="19" t="s">
        <v>114</v>
      </c>
      <c r="H16" s="19" t="s">
        <v>113</v>
      </c>
      <c r="I16" s="78" t="s">
        <v>114</v>
      </c>
    </row>
    <row r="17" spans="4:9" ht="15" thickBot="1" x14ac:dyDescent="0.35">
      <c r="D17" s="16" t="s">
        <v>64</v>
      </c>
      <c r="E17" s="17" t="s">
        <v>113</v>
      </c>
      <c r="F17" s="17" t="s">
        <v>114</v>
      </c>
      <c r="G17" s="17" t="s">
        <v>113</v>
      </c>
      <c r="H17" s="17" t="s">
        <v>113</v>
      </c>
      <c r="I17" s="77" t="s">
        <v>113</v>
      </c>
    </row>
    <row r="18" spans="4:9" ht="15" thickBot="1" x14ac:dyDescent="0.35">
      <c r="D18" s="18" t="s">
        <v>65</v>
      </c>
      <c r="E18" s="19" t="s">
        <v>113</v>
      </c>
      <c r="F18" s="19" t="s">
        <v>113</v>
      </c>
      <c r="G18" s="19" t="s">
        <v>113</v>
      </c>
      <c r="H18" s="19" t="s">
        <v>114</v>
      </c>
      <c r="I18" s="78" t="s">
        <v>113</v>
      </c>
    </row>
    <row r="19" spans="4:9" ht="15" thickBot="1" x14ac:dyDescent="0.35">
      <c r="D19" s="16" t="s">
        <v>66</v>
      </c>
      <c r="E19" s="17" t="s">
        <v>114</v>
      </c>
      <c r="F19" s="17" t="s">
        <v>113</v>
      </c>
      <c r="G19" s="17" t="s">
        <v>113</v>
      </c>
      <c r="H19" s="17" t="s">
        <v>113</v>
      </c>
      <c r="I19" s="77" t="s">
        <v>113</v>
      </c>
    </row>
    <row r="20" spans="4:9" ht="15" thickBot="1" x14ac:dyDescent="0.35">
      <c r="D20" s="18" t="s">
        <v>67</v>
      </c>
      <c r="E20" s="19" t="s">
        <v>113</v>
      </c>
      <c r="F20" s="19" t="s">
        <v>114</v>
      </c>
      <c r="G20" s="19" t="s">
        <v>114</v>
      </c>
      <c r="H20" s="19" t="s">
        <v>113</v>
      </c>
      <c r="I20" s="78" t="s">
        <v>114</v>
      </c>
    </row>
    <row r="21" spans="4:9" ht="15" thickBot="1" x14ac:dyDescent="0.35">
      <c r="D21" s="16" t="s">
        <v>64</v>
      </c>
      <c r="E21" s="17" t="s">
        <v>113</v>
      </c>
      <c r="F21" s="17" t="s">
        <v>114</v>
      </c>
      <c r="G21" s="17" t="s">
        <v>113</v>
      </c>
      <c r="H21" s="17" t="s">
        <v>113</v>
      </c>
      <c r="I21" s="77" t="s">
        <v>113</v>
      </c>
    </row>
    <row r="22" spans="4:9" ht="15" thickBot="1" x14ac:dyDescent="0.35">
      <c r="D22" s="18" t="s">
        <v>65</v>
      </c>
      <c r="E22" s="19" t="s">
        <v>113</v>
      </c>
      <c r="F22" s="19" t="s">
        <v>113</v>
      </c>
      <c r="G22" s="19" t="s">
        <v>113</v>
      </c>
      <c r="H22" s="19" t="s">
        <v>114</v>
      </c>
      <c r="I22" s="78" t="s">
        <v>113</v>
      </c>
    </row>
    <row r="23" spans="4:9" ht="15" thickBot="1" x14ac:dyDescent="0.35">
      <c r="D23" s="16" t="s">
        <v>66</v>
      </c>
      <c r="E23" s="17" t="s">
        <v>114</v>
      </c>
      <c r="F23" s="17" t="s">
        <v>113</v>
      </c>
      <c r="G23" s="17" t="s">
        <v>113</v>
      </c>
      <c r="H23" s="17" t="s">
        <v>113</v>
      </c>
      <c r="I23" s="77" t="s">
        <v>113</v>
      </c>
    </row>
    <row r="24" spans="4:9" ht="15" thickBot="1" x14ac:dyDescent="0.35">
      <c r="D24" s="18" t="s">
        <v>67</v>
      </c>
      <c r="E24" s="19" t="s">
        <v>113</v>
      </c>
      <c r="F24" s="19" t="s">
        <v>114</v>
      </c>
      <c r="G24" s="19" t="s">
        <v>114</v>
      </c>
      <c r="H24" s="19" t="s">
        <v>113</v>
      </c>
      <c r="I24" s="78" t="s">
        <v>114</v>
      </c>
    </row>
    <row r="25" spans="4:9" ht="15" thickBot="1" x14ac:dyDescent="0.35">
      <c r="D25" s="16" t="s">
        <v>64</v>
      </c>
      <c r="E25" s="17" t="s">
        <v>113</v>
      </c>
      <c r="F25" s="17" t="s">
        <v>114</v>
      </c>
      <c r="G25" s="17" t="s">
        <v>113</v>
      </c>
      <c r="H25" s="17" t="s">
        <v>113</v>
      </c>
      <c r="I25" s="77" t="s">
        <v>113</v>
      </c>
    </row>
    <row r="26" spans="4:9" x14ac:dyDescent="0.3">
      <c r="D26" s="79" t="s">
        <v>65</v>
      </c>
      <c r="E26" s="80" t="s">
        <v>113</v>
      </c>
      <c r="F26" s="80" t="s">
        <v>113</v>
      </c>
      <c r="G26" s="80" t="s">
        <v>113</v>
      </c>
      <c r="H26" s="80" t="s">
        <v>114</v>
      </c>
      <c r="I26" s="81" t="s">
        <v>113</v>
      </c>
    </row>
  </sheetData>
  <mergeCells count="3">
    <mergeCell ref="F2:N2"/>
    <mergeCell ref="K7:O7"/>
    <mergeCell ref="K12:O1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57CF2-5FB6-437F-A89B-46E405F3E9AF}">
  <dimension ref="C2:N25"/>
  <sheetViews>
    <sheetView workbookViewId="0">
      <selection activeCell="G10" sqref="G10"/>
    </sheetView>
  </sheetViews>
  <sheetFormatPr defaultRowHeight="14.4" x14ac:dyDescent="0.3"/>
  <cols>
    <col min="3" max="3" width="14.44140625" customWidth="1"/>
    <col min="4" max="4" width="18.109375" customWidth="1"/>
  </cols>
  <sheetData>
    <row r="2" spans="3:14" ht="28.8" x14ac:dyDescent="0.55000000000000004">
      <c r="F2" s="82" t="s">
        <v>117</v>
      </c>
      <c r="G2" s="83"/>
      <c r="H2" s="83"/>
      <c r="I2" s="83"/>
      <c r="J2" s="83"/>
      <c r="K2" s="83"/>
      <c r="L2" s="83"/>
      <c r="M2" s="83"/>
      <c r="N2" s="83"/>
    </row>
    <row r="4" spans="3:14" ht="15" thickBot="1" x14ac:dyDescent="0.35">
      <c r="C4" s="67" t="s">
        <v>118</v>
      </c>
      <c r="D4" s="67" t="s">
        <v>38</v>
      </c>
    </row>
    <row r="5" spans="3:14" ht="15" thickBot="1" x14ac:dyDescent="0.35">
      <c r="C5" s="17" t="s">
        <v>119</v>
      </c>
      <c r="D5" s="17">
        <v>4500</v>
      </c>
    </row>
    <row r="6" spans="3:14" ht="15" thickBot="1" x14ac:dyDescent="0.35">
      <c r="C6" s="19" t="s">
        <v>120</v>
      </c>
      <c r="D6" s="19">
        <v>12000</v>
      </c>
    </row>
    <row r="7" spans="3:14" ht="15" thickBot="1" x14ac:dyDescent="0.35">
      <c r="C7" s="17" t="s">
        <v>121</v>
      </c>
      <c r="D7" s="17">
        <v>8000</v>
      </c>
    </row>
    <row r="8" spans="3:14" ht="15" thickBot="1" x14ac:dyDescent="0.35">
      <c r="C8" s="19" t="s">
        <v>122</v>
      </c>
      <c r="D8" s="19">
        <v>25000</v>
      </c>
    </row>
    <row r="9" spans="3:14" ht="15" thickBot="1" x14ac:dyDescent="0.35">
      <c r="C9" s="17" t="s">
        <v>123</v>
      </c>
      <c r="D9" s="17">
        <v>3000</v>
      </c>
    </row>
    <row r="10" spans="3:14" ht="15" thickBot="1" x14ac:dyDescent="0.35">
      <c r="C10" s="19" t="s">
        <v>124</v>
      </c>
      <c r="D10" s="19">
        <v>15000</v>
      </c>
    </row>
    <row r="11" spans="3:14" ht="15" thickBot="1" x14ac:dyDescent="0.35">
      <c r="C11" s="17" t="s">
        <v>125</v>
      </c>
      <c r="D11" s="35">
        <f ca="1">RANDBETWEEN(15000,50000)</f>
        <v>44924</v>
      </c>
    </row>
    <row r="12" spans="3:14" ht="15" thickBot="1" x14ac:dyDescent="0.35">
      <c r="C12" s="19" t="s">
        <v>126</v>
      </c>
      <c r="D12" s="35">
        <f t="shared" ref="D12:D24" ca="1" si="0">RANDBETWEEN(15000,50000)</f>
        <v>45253</v>
      </c>
    </row>
    <row r="13" spans="3:14" ht="15" thickBot="1" x14ac:dyDescent="0.35">
      <c r="C13" s="17" t="s">
        <v>127</v>
      </c>
      <c r="D13" s="35">
        <f t="shared" ca="1" si="0"/>
        <v>15545</v>
      </c>
    </row>
    <row r="14" spans="3:14" ht="15" thickBot="1" x14ac:dyDescent="0.35">
      <c r="C14" s="19" t="s">
        <v>128</v>
      </c>
      <c r="D14" s="35">
        <f t="shared" ca="1" si="0"/>
        <v>45683</v>
      </c>
    </row>
    <row r="15" spans="3:14" ht="15" thickBot="1" x14ac:dyDescent="0.35">
      <c r="C15" s="17" t="s">
        <v>129</v>
      </c>
      <c r="D15" s="35">
        <f t="shared" ca="1" si="0"/>
        <v>37739</v>
      </c>
    </row>
    <row r="16" spans="3:14" ht="15" thickBot="1" x14ac:dyDescent="0.35">
      <c r="C16" s="19" t="s">
        <v>130</v>
      </c>
      <c r="D16" s="35">
        <f t="shared" ca="1" si="0"/>
        <v>31448</v>
      </c>
    </row>
    <row r="17" spans="3:4" ht="15" thickBot="1" x14ac:dyDescent="0.35">
      <c r="C17" s="17" t="s">
        <v>131</v>
      </c>
      <c r="D17" s="35">
        <f t="shared" ca="1" si="0"/>
        <v>37789</v>
      </c>
    </row>
    <row r="18" spans="3:4" ht="15" thickBot="1" x14ac:dyDescent="0.35">
      <c r="C18" s="19" t="s">
        <v>132</v>
      </c>
      <c r="D18" s="35">
        <f t="shared" ca="1" si="0"/>
        <v>49656</v>
      </c>
    </row>
    <row r="19" spans="3:4" ht="15" thickBot="1" x14ac:dyDescent="0.35">
      <c r="C19" s="17" t="s">
        <v>133</v>
      </c>
      <c r="D19" s="35">
        <f t="shared" ca="1" si="0"/>
        <v>15340</v>
      </c>
    </row>
    <row r="20" spans="3:4" ht="15" thickBot="1" x14ac:dyDescent="0.35">
      <c r="C20" s="19" t="s">
        <v>134</v>
      </c>
      <c r="D20" s="35">
        <f t="shared" ca="1" si="0"/>
        <v>36037</v>
      </c>
    </row>
    <row r="21" spans="3:4" ht="15" thickBot="1" x14ac:dyDescent="0.35">
      <c r="C21" s="17" t="s">
        <v>135</v>
      </c>
      <c r="D21" s="35">
        <f t="shared" ca="1" si="0"/>
        <v>17104</v>
      </c>
    </row>
    <row r="22" spans="3:4" ht="15" thickBot="1" x14ac:dyDescent="0.35">
      <c r="C22" s="19" t="s">
        <v>136</v>
      </c>
      <c r="D22" s="35">
        <f t="shared" ca="1" si="0"/>
        <v>32970</v>
      </c>
    </row>
    <row r="23" spans="3:4" ht="15" thickBot="1" x14ac:dyDescent="0.35">
      <c r="C23" s="17" t="s">
        <v>137</v>
      </c>
      <c r="D23" s="35">
        <f t="shared" ca="1" si="0"/>
        <v>44787</v>
      </c>
    </row>
    <row r="24" spans="3:4" ht="15" thickBot="1" x14ac:dyDescent="0.35">
      <c r="C24" s="19" t="s">
        <v>138</v>
      </c>
      <c r="D24" s="35">
        <f t="shared" ca="1" si="0"/>
        <v>17603</v>
      </c>
    </row>
    <row r="25" spans="3:4" x14ac:dyDescent="0.3">
      <c r="C25" s="22"/>
      <c r="D25" s="22"/>
    </row>
  </sheetData>
  <mergeCells count="1">
    <mergeCell ref="F2:N2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50227-6EF0-41CE-81DF-0EF892F26975}">
  <dimension ref="D2:M26"/>
  <sheetViews>
    <sheetView topLeftCell="A7" workbookViewId="0">
      <selection activeCell="G23" sqref="G23"/>
    </sheetView>
  </sheetViews>
  <sheetFormatPr defaultRowHeight="14.4" x14ac:dyDescent="0.3"/>
  <cols>
    <col min="4" max="4" width="12.33203125" customWidth="1"/>
    <col min="5" max="5" width="17.33203125" customWidth="1"/>
  </cols>
  <sheetData>
    <row r="2" spans="4:13" ht="28.8" x14ac:dyDescent="0.55000000000000004">
      <c r="F2" s="84" t="s">
        <v>139</v>
      </c>
      <c r="G2" s="85"/>
      <c r="H2" s="85"/>
      <c r="I2" s="85"/>
      <c r="J2" s="85"/>
      <c r="K2" s="85"/>
      <c r="L2" s="85"/>
      <c r="M2" s="85"/>
    </row>
    <row r="4" spans="4:13" ht="15" thickBot="1" x14ac:dyDescent="0.35">
      <c r="D4" s="75" t="s">
        <v>140</v>
      </c>
      <c r="E4" s="67" t="s">
        <v>38</v>
      </c>
    </row>
    <row r="5" spans="4:13" ht="15" thickBot="1" x14ac:dyDescent="0.35">
      <c r="D5" s="16" t="s">
        <v>141</v>
      </c>
      <c r="E5" s="17">
        <v>22000</v>
      </c>
    </row>
    <row r="6" spans="4:13" ht="15" thickBot="1" x14ac:dyDescent="0.35">
      <c r="D6" s="18" t="s">
        <v>142</v>
      </c>
      <c r="E6" s="19">
        <v>3500</v>
      </c>
    </row>
    <row r="7" spans="4:13" ht="15" thickBot="1" x14ac:dyDescent="0.35">
      <c r="D7" s="16" t="s">
        <v>143</v>
      </c>
      <c r="E7" s="17">
        <v>58000</v>
      </c>
    </row>
    <row r="8" spans="4:13" ht="15" thickBot="1" x14ac:dyDescent="0.35">
      <c r="D8" s="18" t="s">
        <v>144</v>
      </c>
      <c r="E8" s="19">
        <v>1800</v>
      </c>
    </row>
    <row r="9" spans="4:13" ht="15" thickBot="1" x14ac:dyDescent="0.35">
      <c r="D9" s="16" t="s">
        <v>145</v>
      </c>
      <c r="E9" s="17">
        <v>12000</v>
      </c>
    </row>
    <row r="10" spans="4:13" ht="15" thickBot="1" x14ac:dyDescent="0.35">
      <c r="D10" s="16" t="s">
        <v>141</v>
      </c>
      <c r="E10" s="28">
        <f ca="1">RANDBETWEEN(15000,50000)</f>
        <v>24909</v>
      </c>
    </row>
    <row r="11" spans="4:13" ht="15" thickBot="1" x14ac:dyDescent="0.35">
      <c r="D11" s="18" t="s">
        <v>142</v>
      </c>
      <c r="E11" s="28">
        <f t="shared" ref="E11:E26" ca="1" si="0">RANDBETWEEN(15000,50000)</f>
        <v>21049</v>
      </c>
    </row>
    <row r="12" spans="4:13" ht="15" thickBot="1" x14ac:dyDescent="0.35">
      <c r="D12" s="16" t="s">
        <v>143</v>
      </c>
      <c r="E12" s="28">
        <f t="shared" ca="1" si="0"/>
        <v>46548</v>
      </c>
    </row>
    <row r="13" spans="4:13" ht="15" thickBot="1" x14ac:dyDescent="0.35">
      <c r="D13" s="18" t="s">
        <v>144</v>
      </c>
      <c r="E13" s="28">
        <f t="shared" ca="1" si="0"/>
        <v>20170</v>
      </c>
    </row>
    <row r="14" spans="4:13" ht="15" thickBot="1" x14ac:dyDescent="0.35">
      <c r="D14" s="16" t="s">
        <v>145</v>
      </c>
      <c r="E14" s="28">
        <f t="shared" ca="1" si="0"/>
        <v>30259</v>
      </c>
    </row>
    <row r="15" spans="4:13" ht="15" thickBot="1" x14ac:dyDescent="0.35">
      <c r="D15" s="16" t="s">
        <v>141</v>
      </c>
      <c r="E15" s="28">
        <f t="shared" ca="1" si="0"/>
        <v>31715</v>
      </c>
    </row>
    <row r="16" spans="4:13" ht="15" thickBot="1" x14ac:dyDescent="0.35">
      <c r="D16" s="18" t="s">
        <v>142</v>
      </c>
      <c r="E16" s="28">
        <f t="shared" ca="1" si="0"/>
        <v>37895</v>
      </c>
    </row>
    <row r="17" spans="4:5" ht="15" thickBot="1" x14ac:dyDescent="0.35">
      <c r="D17" s="16" t="s">
        <v>143</v>
      </c>
      <c r="E17" s="28">
        <f t="shared" ca="1" si="0"/>
        <v>19059</v>
      </c>
    </row>
    <row r="18" spans="4:5" ht="15" thickBot="1" x14ac:dyDescent="0.35">
      <c r="D18" s="18" t="s">
        <v>144</v>
      </c>
      <c r="E18" s="28">
        <f t="shared" ca="1" si="0"/>
        <v>27055</v>
      </c>
    </row>
    <row r="19" spans="4:5" ht="15" thickBot="1" x14ac:dyDescent="0.35">
      <c r="D19" s="16" t="s">
        <v>145</v>
      </c>
      <c r="E19" s="28">
        <f t="shared" ca="1" si="0"/>
        <v>30103</v>
      </c>
    </row>
    <row r="20" spans="4:5" ht="15" thickBot="1" x14ac:dyDescent="0.35">
      <c r="D20" s="16" t="s">
        <v>141</v>
      </c>
      <c r="E20" s="28">
        <f t="shared" ca="1" si="0"/>
        <v>39832</v>
      </c>
    </row>
    <row r="21" spans="4:5" ht="15" thickBot="1" x14ac:dyDescent="0.35">
      <c r="D21" s="18" t="s">
        <v>142</v>
      </c>
      <c r="E21" s="28">
        <f t="shared" ca="1" si="0"/>
        <v>38537</v>
      </c>
    </row>
    <row r="22" spans="4:5" ht="15" thickBot="1" x14ac:dyDescent="0.35">
      <c r="D22" s="16" t="s">
        <v>143</v>
      </c>
      <c r="E22" s="28">
        <f t="shared" ca="1" si="0"/>
        <v>35821</v>
      </c>
    </row>
    <row r="23" spans="4:5" ht="15" thickBot="1" x14ac:dyDescent="0.35">
      <c r="D23" s="18" t="s">
        <v>144</v>
      </c>
      <c r="E23" s="28">
        <f t="shared" ca="1" si="0"/>
        <v>32043</v>
      </c>
    </row>
    <row r="24" spans="4:5" ht="15" thickBot="1" x14ac:dyDescent="0.35">
      <c r="D24" s="16" t="s">
        <v>145</v>
      </c>
      <c r="E24" s="28">
        <f t="shared" ca="1" si="0"/>
        <v>34255</v>
      </c>
    </row>
    <row r="25" spans="4:5" ht="15" thickBot="1" x14ac:dyDescent="0.35">
      <c r="D25" s="16" t="s">
        <v>141</v>
      </c>
      <c r="E25" s="28">
        <f t="shared" ca="1" si="0"/>
        <v>40881</v>
      </c>
    </row>
    <row r="26" spans="4:5" ht="15" thickBot="1" x14ac:dyDescent="0.35">
      <c r="D26" s="18" t="s">
        <v>142</v>
      </c>
      <c r="E26" s="28">
        <f t="shared" ca="1" si="0"/>
        <v>31256</v>
      </c>
    </row>
  </sheetData>
  <mergeCells count="1">
    <mergeCell ref="F2:M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79249-3EFA-4820-B25C-9E762A8EC489}">
  <dimension ref="D2:M24"/>
  <sheetViews>
    <sheetView workbookViewId="0">
      <selection activeCell="H20" sqref="H20"/>
    </sheetView>
  </sheetViews>
  <sheetFormatPr defaultRowHeight="14.4" x14ac:dyDescent="0.3"/>
  <cols>
    <col min="4" max="4" width="13" customWidth="1"/>
    <col min="5" max="5" width="13.33203125" customWidth="1"/>
    <col min="6" max="6" width="12.6640625" customWidth="1"/>
  </cols>
  <sheetData>
    <row r="2" spans="4:13" ht="28.8" x14ac:dyDescent="0.55000000000000004">
      <c r="E2" s="87" t="s">
        <v>146</v>
      </c>
      <c r="F2" s="88"/>
      <c r="G2" s="88"/>
      <c r="H2" s="88"/>
      <c r="I2" s="88"/>
      <c r="J2" s="88"/>
      <c r="K2" s="88"/>
      <c r="L2" s="88"/>
      <c r="M2" s="88"/>
    </row>
    <row r="4" spans="4:13" ht="15" thickBot="1" x14ac:dyDescent="0.35">
      <c r="D4" s="75" t="s">
        <v>58</v>
      </c>
      <c r="E4" s="67" t="s">
        <v>2</v>
      </c>
      <c r="F4" s="67" t="s">
        <v>147</v>
      </c>
    </row>
    <row r="5" spans="4:13" ht="15" thickBot="1" x14ac:dyDescent="0.35">
      <c r="D5" s="16">
        <v>1</v>
      </c>
      <c r="E5" s="17" t="s">
        <v>102</v>
      </c>
      <c r="F5" s="17">
        <v>85</v>
      </c>
    </row>
    <row r="6" spans="4:13" ht="15" thickBot="1" x14ac:dyDescent="0.35">
      <c r="D6" s="18">
        <v>2</v>
      </c>
      <c r="E6" s="19" t="s">
        <v>148</v>
      </c>
      <c r="F6" s="19">
        <v>72</v>
      </c>
    </row>
    <row r="7" spans="4:13" ht="15" thickBot="1" x14ac:dyDescent="0.35">
      <c r="D7" s="16">
        <v>3</v>
      </c>
      <c r="E7" s="17" t="s">
        <v>149</v>
      </c>
      <c r="F7" s="17">
        <v>39</v>
      </c>
    </row>
    <row r="8" spans="4:13" ht="15" thickBot="1" x14ac:dyDescent="0.35">
      <c r="D8" s="18">
        <v>4</v>
      </c>
      <c r="E8" s="19" t="s">
        <v>150</v>
      </c>
      <c r="F8" s="19">
        <v>91</v>
      </c>
    </row>
    <row r="9" spans="4:13" ht="15" thickBot="1" x14ac:dyDescent="0.35">
      <c r="D9" s="16">
        <v>5</v>
      </c>
      <c r="E9" s="17" t="s">
        <v>151</v>
      </c>
      <c r="F9" s="17">
        <v>28</v>
      </c>
    </row>
    <row r="10" spans="4:13" ht="15" thickBot="1" x14ac:dyDescent="0.35">
      <c r="D10" s="16">
        <v>6</v>
      </c>
      <c r="E10" s="17" t="s">
        <v>102</v>
      </c>
      <c r="F10" s="35">
        <f ca="1">CHOOSE(RANDBETWEEN(1,5),$F$5,$F$6,$F$7,$F$8,$F$9)</f>
        <v>91</v>
      </c>
    </row>
    <row r="11" spans="4:13" ht="15" thickBot="1" x14ac:dyDescent="0.35">
      <c r="D11" s="18">
        <v>7</v>
      </c>
      <c r="E11" s="19" t="s">
        <v>148</v>
      </c>
      <c r="F11" s="35">
        <f t="shared" ref="F11:F24" ca="1" si="0">CHOOSE(RANDBETWEEN(1,5),$F$5,$F$6,$F$7,$F$8,$F$9)</f>
        <v>72</v>
      </c>
    </row>
    <row r="12" spans="4:13" ht="15" thickBot="1" x14ac:dyDescent="0.35">
      <c r="D12" s="16">
        <v>8</v>
      </c>
      <c r="E12" s="17" t="s">
        <v>149</v>
      </c>
      <c r="F12" s="35">
        <f t="shared" ca="1" si="0"/>
        <v>85</v>
      </c>
    </row>
    <row r="13" spans="4:13" ht="15" thickBot="1" x14ac:dyDescent="0.35">
      <c r="D13" s="18">
        <v>9</v>
      </c>
      <c r="E13" s="19" t="s">
        <v>150</v>
      </c>
      <c r="F13" s="35">
        <f t="shared" ca="1" si="0"/>
        <v>28</v>
      </c>
    </row>
    <row r="14" spans="4:13" ht="15" thickBot="1" x14ac:dyDescent="0.35">
      <c r="D14" s="16">
        <v>10</v>
      </c>
      <c r="E14" s="17" t="s">
        <v>151</v>
      </c>
      <c r="F14" s="35">
        <f t="shared" ca="1" si="0"/>
        <v>72</v>
      </c>
    </row>
    <row r="15" spans="4:13" ht="15" thickBot="1" x14ac:dyDescent="0.35">
      <c r="D15" s="16">
        <v>11</v>
      </c>
      <c r="E15" s="17" t="s">
        <v>102</v>
      </c>
      <c r="F15" s="35">
        <f t="shared" ca="1" si="0"/>
        <v>39</v>
      </c>
    </row>
    <row r="16" spans="4:13" ht="15" thickBot="1" x14ac:dyDescent="0.35">
      <c r="D16" s="18">
        <v>12</v>
      </c>
      <c r="E16" s="19" t="s">
        <v>148</v>
      </c>
      <c r="F16" s="35">
        <f t="shared" ca="1" si="0"/>
        <v>91</v>
      </c>
    </row>
    <row r="17" spans="4:6" ht="15" thickBot="1" x14ac:dyDescent="0.35">
      <c r="D17" s="16">
        <v>13</v>
      </c>
      <c r="E17" s="17" t="s">
        <v>149</v>
      </c>
      <c r="F17" s="35">
        <f t="shared" ca="1" si="0"/>
        <v>39</v>
      </c>
    </row>
    <row r="18" spans="4:6" ht="15" thickBot="1" x14ac:dyDescent="0.35">
      <c r="D18" s="18">
        <v>14</v>
      </c>
      <c r="E18" s="19" t="s">
        <v>150</v>
      </c>
      <c r="F18" s="35">
        <f t="shared" ca="1" si="0"/>
        <v>39</v>
      </c>
    </row>
    <row r="19" spans="4:6" ht="15" thickBot="1" x14ac:dyDescent="0.35">
      <c r="D19" s="16">
        <v>15</v>
      </c>
      <c r="E19" s="17" t="s">
        <v>151</v>
      </c>
      <c r="F19" s="35">
        <f t="shared" ca="1" si="0"/>
        <v>39</v>
      </c>
    </row>
    <row r="20" spans="4:6" ht="15" thickBot="1" x14ac:dyDescent="0.35">
      <c r="D20" s="16">
        <v>16</v>
      </c>
      <c r="E20" s="17" t="s">
        <v>102</v>
      </c>
      <c r="F20" s="35">
        <f t="shared" ca="1" si="0"/>
        <v>91</v>
      </c>
    </row>
    <row r="21" spans="4:6" ht="15" thickBot="1" x14ac:dyDescent="0.35">
      <c r="D21" s="18">
        <v>17</v>
      </c>
      <c r="E21" s="19" t="s">
        <v>148</v>
      </c>
      <c r="F21" s="35">
        <f t="shared" ca="1" si="0"/>
        <v>72</v>
      </c>
    </row>
    <row r="22" spans="4:6" ht="15" thickBot="1" x14ac:dyDescent="0.35">
      <c r="D22" s="16">
        <v>18</v>
      </c>
      <c r="E22" s="17" t="s">
        <v>149</v>
      </c>
      <c r="F22" s="35">
        <f t="shared" ca="1" si="0"/>
        <v>91</v>
      </c>
    </row>
    <row r="23" spans="4:6" ht="15" thickBot="1" x14ac:dyDescent="0.35">
      <c r="D23" s="18">
        <v>19</v>
      </c>
      <c r="E23" s="19" t="s">
        <v>150</v>
      </c>
      <c r="F23" s="35">
        <f t="shared" ca="1" si="0"/>
        <v>28</v>
      </c>
    </row>
    <row r="24" spans="4:6" ht="15" thickBot="1" x14ac:dyDescent="0.35">
      <c r="D24" s="16">
        <v>20</v>
      </c>
      <c r="E24" s="17" t="s">
        <v>151</v>
      </c>
      <c r="F24" s="35">
        <f t="shared" ca="1" si="0"/>
        <v>85</v>
      </c>
    </row>
  </sheetData>
  <mergeCells count="1">
    <mergeCell ref="E2:M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4895E-F3BF-4D5F-854A-6E1914E81BF2}">
  <dimension ref="C2:L31"/>
  <sheetViews>
    <sheetView workbookViewId="0">
      <selection activeCell="F8" sqref="F8"/>
    </sheetView>
  </sheetViews>
  <sheetFormatPr defaultRowHeight="14.4" x14ac:dyDescent="0.3"/>
  <cols>
    <col min="3" max="3" width="17.21875" customWidth="1"/>
  </cols>
  <sheetData>
    <row r="2" spans="3:12" ht="23.4" x14ac:dyDescent="0.45">
      <c r="E2" s="89" t="s">
        <v>152</v>
      </c>
      <c r="F2" s="90"/>
      <c r="G2" s="90"/>
      <c r="H2" s="90"/>
      <c r="I2" s="90"/>
      <c r="J2" s="90"/>
      <c r="K2" s="90"/>
      <c r="L2" s="90"/>
    </row>
    <row r="3" spans="3:12" ht="15" thickBot="1" x14ac:dyDescent="0.35"/>
    <row r="4" spans="3:12" ht="15" thickBot="1" x14ac:dyDescent="0.35">
      <c r="C4" s="91" t="s">
        <v>97</v>
      </c>
      <c r="D4" s="91" t="s">
        <v>4</v>
      </c>
    </row>
    <row r="5" spans="3:12" ht="15" thickBot="1" x14ac:dyDescent="0.35">
      <c r="C5" s="92" t="s">
        <v>153</v>
      </c>
      <c r="D5" s="92">
        <v>28000</v>
      </c>
    </row>
    <row r="6" spans="3:12" ht="15" thickBot="1" x14ac:dyDescent="0.35">
      <c r="C6" s="93" t="s">
        <v>154</v>
      </c>
      <c r="D6" s="93">
        <v>34000</v>
      </c>
    </row>
    <row r="7" spans="3:12" ht="15" thickBot="1" x14ac:dyDescent="0.35">
      <c r="C7" s="92" t="s">
        <v>155</v>
      </c>
      <c r="D7" s="92">
        <v>51000</v>
      </c>
    </row>
    <row r="8" spans="3:12" ht="15" thickBot="1" x14ac:dyDescent="0.35">
      <c r="C8" s="93" t="s">
        <v>156</v>
      </c>
      <c r="D8" s="93">
        <v>47000</v>
      </c>
    </row>
    <row r="9" spans="3:12" ht="15" thickBot="1" x14ac:dyDescent="0.35">
      <c r="C9" s="92" t="s">
        <v>157</v>
      </c>
      <c r="D9" s="92">
        <v>29000</v>
      </c>
    </row>
    <row r="10" spans="3:12" ht="15" thickBot="1" x14ac:dyDescent="0.35">
      <c r="C10" s="92" t="s">
        <v>153</v>
      </c>
      <c r="D10" s="86">
        <f ca="1">RANDBETWEEN(15000,50000)</f>
        <v>43179</v>
      </c>
    </row>
    <row r="11" spans="3:12" ht="15" thickBot="1" x14ac:dyDescent="0.35">
      <c r="C11" s="93" t="s">
        <v>154</v>
      </c>
      <c r="D11" s="86">
        <f t="shared" ref="D11:D30" ca="1" si="0">RANDBETWEEN(15000,50000)</f>
        <v>35200</v>
      </c>
    </row>
    <row r="12" spans="3:12" ht="15" thickBot="1" x14ac:dyDescent="0.35">
      <c r="C12" s="92" t="s">
        <v>155</v>
      </c>
      <c r="D12" s="86">
        <f t="shared" ca="1" si="0"/>
        <v>45692</v>
      </c>
    </row>
    <row r="13" spans="3:12" ht="15" thickBot="1" x14ac:dyDescent="0.35">
      <c r="C13" s="93" t="s">
        <v>156</v>
      </c>
      <c r="D13" s="86">
        <f t="shared" ca="1" si="0"/>
        <v>45162</v>
      </c>
    </row>
    <row r="14" spans="3:12" ht="15" thickBot="1" x14ac:dyDescent="0.35">
      <c r="C14" s="92" t="s">
        <v>157</v>
      </c>
      <c r="D14" s="86">
        <f t="shared" ca="1" si="0"/>
        <v>46124</v>
      </c>
    </row>
    <row r="15" spans="3:12" ht="15" thickBot="1" x14ac:dyDescent="0.35">
      <c r="C15" s="92" t="s">
        <v>153</v>
      </c>
      <c r="D15" s="86">
        <f t="shared" ca="1" si="0"/>
        <v>20658</v>
      </c>
    </row>
    <row r="16" spans="3:12" ht="15" thickBot="1" x14ac:dyDescent="0.35">
      <c r="C16" s="93" t="s">
        <v>154</v>
      </c>
      <c r="D16" s="86">
        <f t="shared" ca="1" si="0"/>
        <v>49355</v>
      </c>
    </row>
    <row r="17" spans="3:4" ht="15" thickBot="1" x14ac:dyDescent="0.35">
      <c r="C17" s="92" t="s">
        <v>155</v>
      </c>
      <c r="D17" s="86">
        <f t="shared" ca="1" si="0"/>
        <v>29375</v>
      </c>
    </row>
    <row r="18" spans="3:4" ht="15" thickBot="1" x14ac:dyDescent="0.35">
      <c r="C18" s="93" t="s">
        <v>156</v>
      </c>
      <c r="D18" s="86">
        <f t="shared" ca="1" si="0"/>
        <v>39526</v>
      </c>
    </row>
    <row r="19" spans="3:4" ht="15" thickBot="1" x14ac:dyDescent="0.35">
      <c r="C19" s="92" t="s">
        <v>157</v>
      </c>
      <c r="D19" s="86">
        <f t="shared" ca="1" si="0"/>
        <v>20911</v>
      </c>
    </row>
    <row r="20" spans="3:4" ht="15" thickBot="1" x14ac:dyDescent="0.35">
      <c r="C20" s="92" t="s">
        <v>153</v>
      </c>
      <c r="D20" s="86">
        <f t="shared" ca="1" si="0"/>
        <v>30853</v>
      </c>
    </row>
    <row r="21" spans="3:4" ht="15" thickBot="1" x14ac:dyDescent="0.35">
      <c r="C21" s="93" t="s">
        <v>154</v>
      </c>
      <c r="D21" s="86">
        <f t="shared" ca="1" si="0"/>
        <v>17665</v>
      </c>
    </row>
    <row r="22" spans="3:4" ht="15" thickBot="1" x14ac:dyDescent="0.35">
      <c r="C22" s="92" t="s">
        <v>155</v>
      </c>
      <c r="D22" s="86">
        <f t="shared" ca="1" si="0"/>
        <v>38295</v>
      </c>
    </row>
    <row r="23" spans="3:4" ht="15" thickBot="1" x14ac:dyDescent="0.35">
      <c r="C23" s="93" t="s">
        <v>156</v>
      </c>
      <c r="D23" s="86">
        <f t="shared" ca="1" si="0"/>
        <v>35572</v>
      </c>
    </row>
    <row r="24" spans="3:4" ht="15" thickBot="1" x14ac:dyDescent="0.35">
      <c r="C24" s="92" t="s">
        <v>157</v>
      </c>
      <c r="D24" s="86">
        <f t="shared" ca="1" si="0"/>
        <v>33205</v>
      </c>
    </row>
    <row r="25" spans="3:4" ht="15" thickBot="1" x14ac:dyDescent="0.35">
      <c r="C25" s="92" t="s">
        <v>153</v>
      </c>
      <c r="D25" s="86">
        <f t="shared" ca="1" si="0"/>
        <v>18517</v>
      </c>
    </row>
    <row r="26" spans="3:4" ht="15" thickBot="1" x14ac:dyDescent="0.35">
      <c r="C26" s="93" t="s">
        <v>154</v>
      </c>
      <c r="D26" s="86">
        <f t="shared" ca="1" si="0"/>
        <v>40340</v>
      </c>
    </row>
    <row r="27" spans="3:4" ht="15" thickBot="1" x14ac:dyDescent="0.35">
      <c r="C27" s="92" t="s">
        <v>155</v>
      </c>
      <c r="D27" s="86">
        <f t="shared" ca="1" si="0"/>
        <v>46945</v>
      </c>
    </row>
    <row r="28" spans="3:4" ht="15" thickBot="1" x14ac:dyDescent="0.35">
      <c r="C28" s="93" t="s">
        <v>156</v>
      </c>
      <c r="D28" s="86">
        <f t="shared" ca="1" si="0"/>
        <v>25803</v>
      </c>
    </row>
    <row r="29" spans="3:4" ht="15" thickBot="1" x14ac:dyDescent="0.35">
      <c r="C29" s="92" t="s">
        <v>157</v>
      </c>
      <c r="D29" s="86">
        <f t="shared" ca="1" si="0"/>
        <v>48082</v>
      </c>
    </row>
    <row r="30" spans="3:4" ht="15" thickBot="1" x14ac:dyDescent="0.35">
      <c r="C30" s="92" t="s">
        <v>153</v>
      </c>
      <c r="D30" s="86">
        <f t="shared" ca="1" si="0"/>
        <v>42446</v>
      </c>
    </row>
    <row r="31" spans="3:4" x14ac:dyDescent="0.3">
      <c r="C31" s="94"/>
      <c r="D31" s="94"/>
    </row>
  </sheetData>
  <mergeCells count="1">
    <mergeCell ref="E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Task1</vt:lpstr>
      <vt:lpstr>Task2</vt:lpstr>
      <vt:lpstr>Task3</vt:lpstr>
      <vt:lpstr>Task4</vt:lpstr>
      <vt:lpstr>Task5</vt:lpstr>
      <vt:lpstr>Task6</vt:lpstr>
      <vt:lpstr>Task7</vt:lpstr>
      <vt:lpstr>Task8</vt:lpstr>
      <vt:lpstr>Task9</vt:lpstr>
      <vt:lpstr>Task10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asdc42</dc:creator>
  <cp:lastModifiedBy>Patel Priyanshi</cp:lastModifiedBy>
  <dcterms:created xsi:type="dcterms:W3CDTF">2026-06-24T06:18:37Z</dcterms:created>
  <dcterms:modified xsi:type="dcterms:W3CDTF">2026-06-25T06:12:44Z</dcterms:modified>
</cp:coreProperties>
</file>