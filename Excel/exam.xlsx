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13_ncr:1_{C162CBC3-83FB-4FC1-A48F-2FCA0B0CE0EF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 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4" i="6" l="1"/>
  <c r="B108" i="6"/>
  <c r="G94" i="6"/>
  <c r="C42" i="6"/>
  <c r="C43" i="6"/>
  <c r="E24" i="6"/>
  <c r="E25" i="6"/>
  <c r="E23" i="6"/>
  <c r="D24" i="6"/>
  <c r="G115" i="6"/>
  <c r="G116" i="6"/>
  <c r="G117" i="6"/>
  <c r="G118" i="6"/>
  <c r="G95" i="6"/>
  <c r="G96" i="6"/>
  <c r="G97" i="6"/>
  <c r="G98" i="6"/>
  <c r="H52" i="6"/>
  <c r="H53" i="6"/>
  <c r="H54" i="6"/>
  <c r="H55" i="6"/>
  <c r="H56" i="6"/>
  <c r="H51" i="6"/>
  <c r="C45" i="6"/>
  <c r="C44" i="6"/>
  <c r="B37" i="6"/>
  <c r="H5" i="6"/>
  <c r="D16" i="6" s="1"/>
  <c r="H6" i="6"/>
  <c r="D17" i="6" s="1"/>
  <c r="H7" i="6"/>
  <c r="H8" i="6"/>
  <c r="H9" i="6"/>
  <c r="H4" i="6"/>
  <c r="D15" i="6" s="1"/>
  <c r="J32" i="5"/>
  <c r="D23" i="6" l="1"/>
  <c r="F23" i="6" s="1"/>
  <c r="D25" i="6"/>
  <c r="F25" i="6" s="1"/>
  <c r="F24" i="6"/>
  <c r="B62" i="6"/>
  <c r="B61" i="6"/>
  <c r="B30" i="6"/>
</calcChain>
</file>

<file path=xl/sharedStrings.xml><?xml version="1.0" encoding="utf-8"?>
<sst xmlns="http://schemas.openxmlformats.org/spreadsheetml/2006/main" count="304" uniqueCount="109">
  <si>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</si>
  <si>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</si>
  <si>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</si>
  <si>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</si>
  <si>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</si>
  <si>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</si>
  <si>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</si>
  <si>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</si>
  <si>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</si>
  <si>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</si>
  <si>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</si>
  <si>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</si>
  <si>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</si>
  <si>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</si>
  <si>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</si>
  <si>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</si>
  <si>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</si>
  <si>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</si>
  <si>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</si>
  <si>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</si>
  <si>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</si>
  <si>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</si>
  <si>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</si>
  <si>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</si>
  <si>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</si>
  <si>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</si>
  <si>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</si>
  <si>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</si>
  <si>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</si>
  <si>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</si>
  <si>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</si>
  <si>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</si>
  <si>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</si>
  <si>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</si>
  <si>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</si>
  <si>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</si>
  <si>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</si>
  <si>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</si>
  <si>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</si>
  <si>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</si>
  <si>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</si>
  <si>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</si>
  <si>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</si>
  <si>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</si>
  <si>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</si>
  <si>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</si>
  <si>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</si>
  <si>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</si>
  <si>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</si>
  <si>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</si>
  <si>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</si>
  <si>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</si>
  <si>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</si>
  <si>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</si>
  <si>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</si>
  <si>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</si>
  <si>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</si>
  <si>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</si>
  <si>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</si>
  <si>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</si>
  <si>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</si>
  <si>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</si>
  <si>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</si>
  <si>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</si>
  <si>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</si>
  <si>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</si>
  <si>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</si>
  <si>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</si>
  <si>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</si>
  <si>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</si>
  <si>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</si>
  <si>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</si>
  <si>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</si>
  <si>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Q-1 </t>
  </si>
  <si>
    <t xml:space="preserve">Total Sales </t>
  </si>
  <si>
    <t xml:space="preserve">Q-2 </t>
  </si>
  <si>
    <t xml:space="preserve"> </t>
  </si>
  <si>
    <t xml:space="preserve">GTS Amount </t>
  </si>
  <si>
    <t>Q-3</t>
  </si>
  <si>
    <t>Q-4</t>
  </si>
  <si>
    <t>Total Number orders</t>
  </si>
  <si>
    <t xml:space="preserve">Q-5 </t>
  </si>
  <si>
    <t xml:space="preserve">Q-6 </t>
  </si>
  <si>
    <t xml:space="preserve">Region -Wise Total Sales </t>
  </si>
  <si>
    <t xml:space="preserve">North </t>
  </si>
  <si>
    <t>Sounth</t>
  </si>
  <si>
    <t xml:space="preserve">East </t>
  </si>
  <si>
    <t xml:space="preserve">West </t>
  </si>
  <si>
    <t>Q-7</t>
  </si>
  <si>
    <t>Q-8</t>
  </si>
  <si>
    <t>Q-9</t>
  </si>
  <si>
    <t>Month</t>
  </si>
  <si>
    <t>Q-10</t>
  </si>
  <si>
    <t>Q-11</t>
  </si>
  <si>
    <t>Q-12</t>
  </si>
  <si>
    <t xml:space="preserve">Average </t>
  </si>
  <si>
    <t>Q-13</t>
  </si>
  <si>
    <t>Q-14</t>
  </si>
  <si>
    <t xml:space="preserve">Count Student Attendance </t>
  </si>
  <si>
    <t>Q-15</t>
  </si>
  <si>
    <t>Classify</t>
  </si>
  <si>
    <t>Q-16</t>
  </si>
  <si>
    <t xml:space="preserve">Final Amount </t>
  </si>
  <si>
    <t xml:space="preserve">Total Sales  </t>
  </si>
  <si>
    <t xml:space="preserve">Total Final Amount </t>
  </si>
  <si>
    <t xml:space="preserve">MaxiMum </t>
  </si>
  <si>
    <t xml:space="preserve">MiniMum </t>
  </si>
  <si>
    <t xml:space="preserve">Classify Quantity </t>
  </si>
  <si>
    <t>Final Amonut (Descending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</si>
</sst>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4" borderId="0" xfId="0" applyFill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2" sqref="A1:G7"/>
    </sheetView>
  </sheetViews>
  <sheetFormatPr defaultRowHeight="14.4" x14ac:dyDescent="0.3"/>
  <cols>
    <col min="7" max="7" width="10.109375" customWidth="1"/>
  </cols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3" sqref="A1:C4"/>
    </sheetView>
  </sheetViews>
  <sheetFormatPr defaultRowHeight="14.4" x14ac:dyDescent="0.3"/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D2" sqref="A1:F6"/>
    </sheetView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8" workbookViewId="0">
      <selection activeCell="G16" sqref="G16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BAB2-A061-4FEC-A947-134F6B3C305F}">
  <dimension ref="A1:I129"/>
  <sheetViews>
    <sheetView tabSelected="1" topLeftCell="A109" zoomScale="118" workbookViewId="0">
      <selection activeCell="D11" sqref="D11"/>
    </sheetView>
  </sheetViews>
  <sheetFormatPr defaultRowHeight="14.4" x14ac:dyDescent="0.3"/>
  <cols>
    <col min="1" max="1" width="24.33203125" customWidth="1"/>
    <col min="2" max="2" width="12.5546875" customWidth="1"/>
    <col min="3" max="3" width="12.21875" customWidth="1"/>
    <col min="4" max="4" width="11.6640625" customWidth="1"/>
    <col min="5" max="5" width="12.5546875" customWidth="1"/>
    <col min="6" max="6" width="16.21875" customWidth="1"/>
    <col min="7" max="7" width="10.6640625" customWidth="1"/>
    <col min="8" max="8" width="10.109375" customWidth="1"/>
  </cols>
  <sheetData>
    <row r="1" spans="1:8" x14ac:dyDescent="0.3">
      <c r="A1" t="s">
        <v>73</v>
      </c>
    </row>
    <row r="2" spans="1:8" x14ac:dyDescent="0.3">
      <c r="A2" t="s">
        <v>42</v>
      </c>
    </row>
    <row r="3" spans="1:8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s="2" t="s">
        <v>74</v>
      </c>
    </row>
    <row r="4" spans="1:8" x14ac:dyDescent="0.3">
      <c r="A4">
        <v>301</v>
      </c>
      <c r="B4" t="s">
        <v>11</v>
      </c>
      <c r="C4" t="s">
        <v>12</v>
      </c>
      <c r="D4" t="s">
        <v>13</v>
      </c>
      <c r="E4">
        <v>2</v>
      </c>
      <c r="F4">
        <v>45000</v>
      </c>
      <c r="G4" t="s">
        <v>14</v>
      </c>
      <c r="H4">
        <f>E4*F4</f>
        <v>90000</v>
      </c>
    </row>
    <row r="5" spans="1:8" x14ac:dyDescent="0.3">
      <c r="A5">
        <v>302</v>
      </c>
      <c r="B5" t="s">
        <v>15</v>
      </c>
      <c r="C5" t="s">
        <v>16</v>
      </c>
      <c r="D5" t="s">
        <v>17</v>
      </c>
      <c r="E5">
        <v>5</v>
      </c>
      <c r="F5">
        <v>15000</v>
      </c>
      <c r="G5" t="s">
        <v>18</v>
      </c>
      <c r="H5">
        <f t="shared" ref="H5:H9" si="0">E5*F5</f>
        <v>75000</v>
      </c>
    </row>
    <row r="6" spans="1:8" x14ac:dyDescent="0.3">
      <c r="A6">
        <v>303</v>
      </c>
      <c r="B6" t="s">
        <v>19</v>
      </c>
      <c r="C6" t="s">
        <v>20</v>
      </c>
      <c r="D6" t="s">
        <v>21</v>
      </c>
      <c r="E6">
        <v>3</v>
      </c>
      <c r="F6">
        <v>18000</v>
      </c>
      <c r="G6" t="s">
        <v>22</v>
      </c>
      <c r="H6">
        <f t="shared" si="0"/>
        <v>54000</v>
      </c>
    </row>
    <row r="7" spans="1:8" x14ac:dyDescent="0.3">
      <c r="A7">
        <v>304</v>
      </c>
      <c r="B7" t="s">
        <v>23</v>
      </c>
      <c r="C7" t="s">
        <v>24</v>
      </c>
      <c r="D7" t="s">
        <v>13</v>
      </c>
      <c r="E7">
        <v>1</v>
      </c>
      <c r="F7">
        <v>45000</v>
      </c>
      <c r="G7" t="s">
        <v>25</v>
      </c>
      <c r="H7">
        <f t="shared" si="0"/>
        <v>45000</v>
      </c>
    </row>
    <row r="8" spans="1:8" x14ac:dyDescent="0.3">
      <c r="A8">
        <v>305</v>
      </c>
      <c r="B8" t="s">
        <v>11</v>
      </c>
      <c r="C8" t="s">
        <v>12</v>
      </c>
      <c r="D8" t="s">
        <v>17</v>
      </c>
      <c r="E8">
        <v>4</v>
      </c>
      <c r="F8">
        <v>15000</v>
      </c>
      <c r="G8" t="s">
        <v>26</v>
      </c>
      <c r="H8">
        <f t="shared" si="0"/>
        <v>60000</v>
      </c>
    </row>
    <row r="9" spans="1:8" x14ac:dyDescent="0.3">
      <c r="A9">
        <v>306</v>
      </c>
      <c r="B9" t="s">
        <v>15</v>
      </c>
      <c r="C9" t="s">
        <v>16</v>
      </c>
      <c r="D9" t="s">
        <v>13</v>
      </c>
      <c r="E9">
        <v>2</v>
      </c>
      <c r="F9">
        <v>45000</v>
      </c>
      <c r="G9" t="s">
        <v>27</v>
      </c>
      <c r="H9">
        <f t="shared" si="0"/>
        <v>90000</v>
      </c>
    </row>
    <row r="12" spans="1:8" x14ac:dyDescent="0.3">
      <c r="A12" t="s">
        <v>75</v>
      </c>
    </row>
    <row r="13" spans="1:8" x14ac:dyDescent="0.3">
      <c r="A13" t="s">
        <v>43</v>
      </c>
    </row>
    <row r="14" spans="1:8" x14ac:dyDescent="0.3">
      <c r="A14" t="s">
        <v>7</v>
      </c>
      <c r="B14" t="s">
        <v>28</v>
      </c>
      <c r="C14" t="s">
        <v>29</v>
      </c>
      <c r="D14" s="2" t="s">
        <v>77</v>
      </c>
    </row>
    <row r="15" spans="1:8" x14ac:dyDescent="0.3">
      <c r="A15" t="s">
        <v>13</v>
      </c>
      <c r="B15" t="s">
        <v>30</v>
      </c>
      <c r="C15">
        <v>18</v>
      </c>
      <c r="D15" s="1">
        <f>H4*VLOOKUP(A15,A14:C17,3,0)/100</f>
        <v>16200</v>
      </c>
    </row>
    <row r="16" spans="1:8" x14ac:dyDescent="0.3">
      <c r="A16" t="s">
        <v>17</v>
      </c>
      <c r="B16" t="s">
        <v>30</v>
      </c>
      <c r="C16">
        <v>12</v>
      </c>
      <c r="D16" s="1">
        <f t="shared" ref="D16:D17" si="1">H5*VLOOKUP(A16,A15:C18,3,0)/100</f>
        <v>9000</v>
      </c>
    </row>
    <row r="17" spans="1:7" x14ac:dyDescent="0.3">
      <c r="A17" t="s">
        <v>21</v>
      </c>
      <c r="B17" t="s">
        <v>30</v>
      </c>
      <c r="C17">
        <v>12</v>
      </c>
      <c r="D17" s="1">
        <f t="shared" si="1"/>
        <v>6480</v>
      </c>
    </row>
    <row r="19" spans="1:7" x14ac:dyDescent="0.3">
      <c r="B19" t="s">
        <v>76</v>
      </c>
    </row>
    <row r="20" spans="1:7" x14ac:dyDescent="0.3">
      <c r="A20" t="s">
        <v>78</v>
      </c>
    </row>
    <row r="21" spans="1:7" x14ac:dyDescent="0.3">
      <c r="A21" t="s">
        <v>44</v>
      </c>
    </row>
    <row r="22" spans="1:7" x14ac:dyDescent="0.3">
      <c r="A22" t="s">
        <v>7</v>
      </c>
      <c r="B22" t="s">
        <v>28</v>
      </c>
      <c r="C22" t="s">
        <v>29</v>
      </c>
      <c r="D22" s="2" t="s">
        <v>77</v>
      </c>
      <c r="E22" s="5" t="s">
        <v>103</v>
      </c>
      <c r="F22" s="5" t="s">
        <v>102</v>
      </c>
    </row>
    <row r="23" spans="1:7" x14ac:dyDescent="0.3">
      <c r="A23" t="s">
        <v>13</v>
      </c>
      <c r="B23" t="s">
        <v>30</v>
      </c>
      <c r="C23">
        <v>18</v>
      </c>
      <c r="D23" s="1">
        <f>H4*VLOOKUP(A23,A23:C25,3,0)/100</f>
        <v>16200</v>
      </c>
      <c r="E23">
        <f>E4*F4</f>
        <v>90000</v>
      </c>
      <c r="F23" s="3">
        <f>D23+E23</f>
        <v>106200</v>
      </c>
      <c r="G23" s="7"/>
    </row>
    <row r="24" spans="1:7" x14ac:dyDescent="0.3">
      <c r="A24" t="s">
        <v>17</v>
      </c>
      <c r="B24" t="s">
        <v>30</v>
      </c>
      <c r="C24">
        <v>12</v>
      </c>
      <c r="D24" s="1">
        <f>H5*VLOOKUP(A24,A24:C26,3,0)/100</f>
        <v>9000</v>
      </c>
      <c r="E24">
        <f>E5*F5</f>
        <v>75000</v>
      </c>
      <c r="F24" s="3">
        <f>D24+E24</f>
        <v>84000</v>
      </c>
    </row>
    <row r="25" spans="1:7" x14ac:dyDescent="0.3">
      <c r="A25" t="s">
        <v>21</v>
      </c>
      <c r="B25" t="s">
        <v>30</v>
      </c>
      <c r="C25">
        <v>12</v>
      </c>
      <c r="D25" s="1">
        <f>H6*VLOOKUP(A25,A25:C27,3,0)/100</f>
        <v>6480</v>
      </c>
      <c r="E25">
        <f>E6*F6</f>
        <v>54000</v>
      </c>
      <c r="F25" s="3">
        <f>D25+E25</f>
        <v>60480</v>
      </c>
    </row>
    <row r="28" spans="1:7" x14ac:dyDescent="0.3">
      <c r="A28" t="s">
        <v>79</v>
      </c>
    </row>
    <row r="29" spans="1:7" x14ac:dyDescent="0.3">
      <c r="A29" t="s">
        <v>45</v>
      </c>
    </row>
    <row r="30" spans="1:7" x14ac:dyDescent="0.3">
      <c r="A30" s="5" t="s">
        <v>104</v>
      </c>
      <c r="B30" s="3">
        <f>SUM(F23:F25)</f>
        <v>250680</v>
      </c>
    </row>
    <row r="35" spans="1:3" x14ac:dyDescent="0.3">
      <c r="A35" t="s">
        <v>81</v>
      </c>
    </row>
    <row r="36" spans="1:3" x14ac:dyDescent="0.3">
      <c r="A36" t="s">
        <v>46</v>
      </c>
    </row>
    <row r="37" spans="1:3" x14ac:dyDescent="0.3">
      <c r="A37" s="2" t="s">
        <v>80</v>
      </c>
      <c r="B37">
        <f>COUNTA(A4:A9)</f>
        <v>6</v>
      </c>
    </row>
    <row r="40" spans="1:3" x14ac:dyDescent="0.3">
      <c r="A40" t="s">
        <v>82</v>
      </c>
    </row>
    <row r="41" spans="1:3" x14ac:dyDescent="0.3">
      <c r="A41" t="s">
        <v>47</v>
      </c>
    </row>
    <row r="42" spans="1:3" x14ac:dyDescent="0.3">
      <c r="A42" t="s">
        <v>83</v>
      </c>
      <c r="B42" s="2" t="s">
        <v>84</v>
      </c>
      <c r="C42">
        <f>SUMIF($B$4:$B$9,B4,$H$4:$H$9)</f>
        <v>150000</v>
      </c>
    </row>
    <row r="43" spans="1:3" x14ac:dyDescent="0.3">
      <c r="B43" s="2" t="s">
        <v>85</v>
      </c>
      <c r="C43">
        <f>SUMIF($B$4:$B$9,B5,$H$4:$H$9)</f>
        <v>165000</v>
      </c>
    </row>
    <row r="44" spans="1:3" x14ac:dyDescent="0.3">
      <c r="B44" s="2" t="s">
        <v>86</v>
      </c>
      <c r="C44">
        <f>SUMIF(B4:$B$9,B6,$H$4:$H$9)</f>
        <v>54000</v>
      </c>
    </row>
    <row r="45" spans="1:3" x14ac:dyDescent="0.3">
      <c r="B45" s="2" t="s">
        <v>87</v>
      </c>
      <c r="C45">
        <f>SUMIF($B$4:$B$9,B7,$H$4:$H$9)</f>
        <v>45000</v>
      </c>
    </row>
    <row r="48" spans="1:3" x14ac:dyDescent="0.3">
      <c r="A48" t="s">
        <v>88</v>
      </c>
    </row>
    <row r="49" spans="1:9" x14ac:dyDescent="0.3">
      <c r="A49" t="s">
        <v>48</v>
      </c>
    </row>
    <row r="50" spans="1:9" x14ac:dyDescent="0.3">
      <c r="A50" t="s">
        <v>4</v>
      </c>
      <c r="B50" t="s">
        <v>5</v>
      </c>
      <c r="C50" t="s">
        <v>6</v>
      </c>
      <c r="D50" t="s">
        <v>7</v>
      </c>
      <c r="E50" t="s">
        <v>8</v>
      </c>
      <c r="F50" t="s">
        <v>9</v>
      </c>
      <c r="G50" t="s">
        <v>10</v>
      </c>
      <c r="H50" s="2" t="s">
        <v>107</v>
      </c>
      <c r="I50" s="2"/>
    </row>
    <row r="51" spans="1:9" x14ac:dyDescent="0.3">
      <c r="A51">
        <v>301</v>
      </c>
      <c r="B51" t="s">
        <v>11</v>
      </c>
      <c r="C51" t="s">
        <v>12</v>
      </c>
      <c r="D51" t="s">
        <v>13</v>
      </c>
      <c r="E51">
        <v>2</v>
      </c>
      <c r="F51">
        <v>45000</v>
      </c>
      <c r="G51" t="s">
        <v>14</v>
      </c>
      <c r="H51" t="str">
        <f>IF(E51&gt;3,"High","Low")</f>
        <v>Low</v>
      </c>
    </row>
    <row r="52" spans="1:9" x14ac:dyDescent="0.3">
      <c r="A52">
        <v>302</v>
      </c>
      <c r="B52" t="s">
        <v>15</v>
      </c>
      <c r="C52" t="s">
        <v>16</v>
      </c>
      <c r="D52" t="s">
        <v>17</v>
      </c>
      <c r="E52">
        <v>5</v>
      </c>
      <c r="F52">
        <v>15000</v>
      </c>
      <c r="G52" t="s">
        <v>18</v>
      </c>
      <c r="H52" t="str">
        <f t="shared" ref="H52:H56" si="2">IF(E52&gt;3,"High","Low")</f>
        <v>High</v>
      </c>
    </row>
    <row r="53" spans="1:9" x14ac:dyDescent="0.3">
      <c r="A53" s="6">
        <v>303</v>
      </c>
      <c r="B53" t="s">
        <v>19</v>
      </c>
      <c r="C53" t="s">
        <v>20</v>
      </c>
      <c r="D53" t="s">
        <v>21</v>
      </c>
      <c r="E53">
        <v>3</v>
      </c>
      <c r="F53">
        <v>18000</v>
      </c>
      <c r="G53" t="s">
        <v>22</v>
      </c>
      <c r="H53" t="str">
        <f t="shared" si="2"/>
        <v>Low</v>
      </c>
    </row>
    <row r="54" spans="1:9" x14ac:dyDescent="0.3">
      <c r="A54">
        <v>304</v>
      </c>
      <c r="B54" t="s">
        <v>23</v>
      </c>
      <c r="C54" t="s">
        <v>24</v>
      </c>
      <c r="D54" t="s">
        <v>13</v>
      </c>
      <c r="E54">
        <v>1</v>
      </c>
      <c r="F54">
        <v>45000</v>
      </c>
      <c r="G54" t="s">
        <v>25</v>
      </c>
      <c r="H54" t="str">
        <f t="shared" si="2"/>
        <v>Low</v>
      </c>
    </row>
    <row r="55" spans="1:9" x14ac:dyDescent="0.3">
      <c r="A55">
        <v>305</v>
      </c>
      <c r="B55" t="s">
        <v>11</v>
      </c>
      <c r="C55" t="s">
        <v>12</v>
      </c>
      <c r="D55" t="s">
        <v>17</v>
      </c>
      <c r="E55">
        <v>4</v>
      </c>
      <c r="F55">
        <v>15000</v>
      </c>
      <c r="G55" t="s">
        <v>26</v>
      </c>
      <c r="H55" t="str">
        <f t="shared" si="2"/>
        <v>High</v>
      </c>
    </row>
    <row r="56" spans="1:9" x14ac:dyDescent="0.3">
      <c r="A56">
        <v>306</v>
      </c>
      <c r="B56" t="s">
        <v>15</v>
      </c>
      <c r="C56" t="s">
        <v>16</v>
      </c>
      <c r="D56" t="s">
        <v>13</v>
      </c>
      <c r="E56">
        <v>2</v>
      </c>
      <c r="F56">
        <v>45000</v>
      </c>
      <c r="G56" t="s">
        <v>27</v>
      </c>
      <c r="H56" t="str">
        <f t="shared" si="2"/>
        <v>Low</v>
      </c>
    </row>
    <row r="59" spans="1:9" x14ac:dyDescent="0.3">
      <c r="A59" t="s">
        <v>89</v>
      </c>
    </row>
    <row r="60" spans="1:9" x14ac:dyDescent="0.3">
      <c r="A60" t="s">
        <v>49</v>
      </c>
    </row>
    <row r="61" spans="1:9" x14ac:dyDescent="0.3">
      <c r="A61" s="5" t="s">
        <v>105</v>
      </c>
      <c r="B61" s="3">
        <f>MAX(F23:F25)</f>
        <v>106200</v>
      </c>
    </row>
    <row r="62" spans="1:9" x14ac:dyDescent="0.3">
      <c r="A62" s="5" t="s">
        <v>106</v>
      </c>
      <c r="B62" s="3">
        <f>MIN(F23:F25)</f>
        <v>60480</v>
      </c>
    </row>
    <row r="65" spans="1:8" x14ac:dyDescent="0.3">
      <c r="A65" t="s">
        <v>90</v>
      </c>
    </row>
    <row r="66" spans="1:8" x14ac:dyDescent="0.3">
      <c r="A66" t="s">
        <v>50</v>
      </c>
    </row>
    <row r="67" spans="1:8" x14ac:dyDescent="0.3">
      <c r="A67" t="s">
        <v>4</v>
      </c>
      <c r="B67" t="s">
        <v>5</v>
      </c>
      <c r="C67" t="s">
        <v>6</v>
      </c>
      <c r="D67" t="s">
        <v>7</v>
      </c>
      <c r="E67" t="s">
        <v>8</v>
      </c>
      <c r="F67" t="s">
        <v>9</v>
      </c>
      <c r="G67" t="s">
        <v>10</v>
      </c>
      <c r="H67" s="2" t="s">
        <v>91</v>
      </c>
    </row>
    <row r="68" spans="1:8" x14ac:dyDescent="0.3">
      <c r="A68">
        <v>301</v>
      </c>
      <c r="B68" t="s">
        <v>11</v>
      </c>
      <c r="C68" t="s">
        <v>12</v>
      </c>
      <c r="D68" t="s">
        <v>13</v>
      </c>
      <c r="E68">
        <v>2</v>
      </c>
      <c r="F68">
        <v>45000</v>
      </c>
      <c r="G68" t="s">
        <v>14</v>
      </c>
    </row>
    <row r="69" spans="1:8" x14ac:dyDescent="0.3">
      <c r="A69">
        <v>302</v>
      </c>
      <c r="B69" t="s">
        <v>15</v>
      </c>
      <c r="C69" t="s">
        <v>16</v>
      </c>
      <c r="D69" t="s">
        <v>17</v>
      </c>
      <c r="E69">
        <v>5</v>
      </c>
      <c r="F69">
        <v>15000</v>
      </c>
      <c r="G69" t="s">
        <v>18</v>
      </c>
    </row>
    <row r="70" spans="1:8" x14ac:dyDescent="0.3">
      <c r="A70">
        <v>303</v>
      </c>
      <c r="B70" t="s">
        <v>19</v>
      </c>
      <c r="C70" t="s">
        <v>20</v>
      </c>
      <c r="D70" t="s">
        <v>21</v>
      </c>
      <c r="E70">
        <v>3</v>
      </c>
      <c r="F70">
        <v>18000</v>
      </c>
      <c r="G70" t="s">
        <v>22</v>
      </c>
    </row>
    <row r="71" spans="1:8" x14ac:dyDescent="0.3">
      <c r="A71">
        <v>304</v>
      </c>
      <c r="B71" t="s">
        <v>23</v>
      </c>
      <c r="C71" t="s">
        <v>24</v>
      </c>
      <c r="D71" t="s">
        <v>13</v>
      </c>
      <c r="E71">
        <v>1</v>
      </c>
      <c r="F71">
        <v>45000</v>
      </c>
      <c r="G71" t="s">
        <v>25</v>
      </c>
    </row>
    <row r="72" spans="1:8" x14ac:dyDescent="0.3">
      <c r="A72">
        <v>305</v>
      </c>
      <c r="B72" t="s">
        <v>11</v>
      </c>
      <c r="C72" t="s">
        <v>12</v>
      </c>
      <c r="D72" t="s">
        <v>17</v>
      </c>
      <c r="E72">
        <v>4</v>
      </c>
      <c r="F72">
        <v>15000</v>
      </c>
      <c r="G72" t="s">
        <v>26</v>
      </c>
    </row>
    <row r="73" spans="1:8" x14ac:dyDescent="0.3">
      <c r="A73">
        <v>306</v>
      </c>
      <c r="B73" t="s">
        <v>15</v>
      </c>
      <c r="C73" t="s">
        <v>16</v>
      </c>
      <c r="D73" t="s">
        <v>13</v>
      </c>
      <c r="E73">
        <v>2</v>
      </c>
      <c r="F73">
        <v>45000</v>
      </c>
      <c r="G73" t="s">
        <v>27</v>
      </c>
    </row>
    <row r="75" spans="1:8" x14ac:dyDescent="0.3">
      <c r="A75" t="s">
        <v>92</v>
      </c>
    </row>
    <row r="76" spans="1:8" x14ac:dyDescent="0.3">
      <c r="A76" t="s">
        <v>51</v>
      </c>
    </row>
    <row r="77" spans="1:8" x14ac:dyDescent="0.3">
      <c r="A77" s="2" t="s">
        <v>108</v>
      </c>
      <c r="B77" s="5" t="s">
        <v>102</v>
      </c>
    </row>
    <row r="78" spans="1:8" x14ac:dyDescent="0.3">
      <c r="B78" s="7">
        <v>106200</v>
      </c>
    </row>
    <row r="79" spans="1:8" x14ac:dyDescent="0.3">
      <c r="B79">
        <v>84000</v>
      </c>
    </row>
    <row r="80" spans="1:8" x14ac:dyDescent="0.3">
      <c r="B80">
        <v>60480</v>
      </c>
    </row>
    <row r="82" spans="1:7" x14ac:dyDescent="0.3">
      <c r="A82" t="s">
        <v>93</v>
      </c>
    </row>
    <row r="83" spans="1:7" x14ac:dyDescent="0.3">
      <c r="A83" t="s">
        <v>52</v>
      </c>
    </row>
    <row r="91" spans="1:7" x14ac:dyDescent="0.3">
      <c r="A91" t="s">
        <v>94</v>
      </c>
    </row>
    <row r="92" spans="1:7" x14ac:dyDescent="0.3">
      <c r="A92" t="s">
        <v>53</v>
      </c>
    </row>
    <row r="93" spans="1:7" x14ac:dyDescent="0.3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 s="2" t="s">
        <v>95</v>
      </c>
    </row>
    <row r="94" spans="1:7" x14ac:dyDescent="0.3">
      <c r="A94">
        <v>1</v>
      </c>
      <c r="B94" t="s">
        <v>37</v>
      </c>
      <c r="C94">
        <v>78</v>
      </c>
      <c r="D94">
        <v>82</v>
      </c>
      <c r="E94">
        <v>85</v>
      </c>
      <c r="F94">
        <v>92</v>
      </c>
      <c r="G94" s="4">
        <f>AVERAGE(C94,D94,E94)</f>
        <v>81.666666666666671</v>
      </c>
    </row>
    <row r="95" spans="1:7" x14ac:dyDescent="0.3">
      <c r="A95">
        <v>2</v>
      </c>
      <c r="B95" t="s">
        <v>38</v>
      </c>
      <c r="C95">
        <v>88</v>
      </c>
      <c r="D95">
        <v>91</v>
      </c>
      <c r="E95">
        <v>90</v>
      </c>
      <c r="F95">
        <v>96</v>
      </c>
      <c r="G95" s="4">
        <f t="shared" ref="G95:G98" si="3">AVERAGE(C95,D95,E95)</f>
        <v>89.666666666666671</v>
      </c>
    </row>
    <row r="96" spans="1:7" x14ac:dyDescent="0.3">
      <c r="A96">
        <v>3</v>
      </c>
      <c r="B96" t="s">
        <v>39</v>
      </c>
      <c r="C96">
        <v>65</v>
      </c>
      <c r="D96">
        <v>70</v>
      </c>
      <c r="E96">
        <v>72</v>
      </c>
      <c r="F96">
        <v>85</v>
      </c>
      <c r="G96" s="4">
        <f t="shared" si="3"/>
        <v>69</v>
      </c>
    </row>
    <row r="97" spans="1:7" x14ac:dyDescent="0.3">
      <c r="A97">
        <v>4</v>
      </c>
      <c r="B97" t="s">
        <v>40</v>
      </c>
      <c r="C97">
        <v>92</v>
      </c>
      <c r="D97">
        <v>89</v>
      </c>
      <c r="E97">
        <v>94</v>
      </c>
      <c r="F97">
        <v>98</v>
      </c>
      <c r="G97" s="4">
        <f t="shared" si="3"/>
        <v>91.666666666666671</v>
      </c>
    </row>
    <row r="98" spans="1:7" x14ac:dyDescent="0.3">
      <c r="A98">
        <v>5</v>
      </c>
      <c r="B98" t="s">
        <v>41</v>
      </c>
      <c r="C98">
        <v>55</v>
      </c>
      <c r="D98">
        <v>60</v>
      </c>
      <c r="E98">
        <v>58</v>
      </c>
      <c r="F98">
        <v>80</v>
      </c>
      <c r="G98" s="4">
        <f t="shared" si="3"/>
        <v>57.666666666666664</v>
      </c>
    </row>
    <row r="100" spans="1:7" x14ac:dyDescent="0.3">
      <c r="A100" t="s">
        <v>96</v>
      </c>
    </row>
    <row r="101" spans="1:7" x14ac:dyDescent="0.3">
      <c r="A101" t="s">
        <v>54</v>
      </c>
    </row>
    <row r="106" spans="1:7" x14ac:dyDescent="0.3">
      <c r="A106" t="s">
        <v>97</v>
      </c>
    </row>
    <row r="107" spans="1:7" x14ac:dyDescent="0.3">
      <c r="A107" t="s">
        <v>55</v>
      </c>
    </row>
    <row r="108" spans="1:7" x14ac:dyDescent="0.3">
      <c r="A108" s="2" t="s">
        <v>98</v>
      </c>
      <c r="B108">
        <f>COUNTIF(F94:F98,"&gt;90")</f>
        <v>3</v>
      </c>
    </row>
    <row r="111" spans="1:7" x14ac:dyDescent="0.3">
      <c r="A111" t="s">
        <v>99</v>
      </c>
    </row>
    <row r="112" spans="1:7" x14ac:dyDescent="0.3">
      <c r="A112" t="s">
        <v>56</v>
      </c>
    </row>
    <row r="113" spans="1:7" x14ac:dyDescent="0.3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 s="2" t="s">
        <v>100</v>
      </c>
    </row>
    <row r="114" spans="1:7" x14ac:dyDescent="0.3">
      <c r="A114">
        <v>1</v>
      </c>
      <c r="B114" t="s">
        <v>37</v>
      </c>
      <c r="C114">
        <v>78</v>
      </c>
      <c r="D114">
        <v>82</v>
      </c>
      <c r="E114">
        <v>85</v>
      </c>
      <c r="F114">
        <v>92</v>
      </c>
      <c r="G114" t="str">
        <f>IF(F114&gt;=85,"Eligible","Not Eligible")</f>
        <v>Eligible</v>
      </c>
    </row>
    <row r="115" spans="1:7" x14ac:dyDescent="0.3">
      <c r="A115">
        <v>2</v>
      </c>
      <c r="B115" t="s">
        <v>38</v>
      </c>
      <c r="C115">
        <v>88</v>
      </c>
      <c r="D115">
        <v>91</v>
      </c>
      <c r="E115">
        <v>90</v>
      </c>
      <c r="F115">
        <v>96</v>
      </c>
      <c r="G115" t="str">
        <f t="shared" ref="G115:G118" si="4">IF(F115&gt;=85,"Eligible","Not Eligible")</f>
        <v>Eligible</v>
      </c>
    </row>
    <row r="116" spans="1:7" x14ac:dyDescent="0.3">
      <c r="A116">
        <v>3</v>
      </c>
      <c r="B116" t="s">
        <v>39</v>
      </c>
      <c r="C116">
        <v>65</v>
      </c>
      <c r="D116">
        <v>70</v>
      </c>
      <c r="E116">
        <v>72</v>
      </c>
      <c r="F116">
        <v>85</v>
      </c>
      <c r="G116" t="str">
        <f t="shared" si="4"/>
        <v>Eligible</v>
      </c>
    </row>
    <row r="117" spans="1:7" x14ac:dyDescent="0.3">
      <c r="A117">
        <v>4</v>
      </c>
      <c r="B117" t="s">
        <v>40</v>
      </c>
      <c r="C117">
        <v>92</v>
      </c>
      <c r="D117">
        <v>89</v>
      </c>
      <c r="E117">
        <v>94</v>
      </c>
      <c r="F117">
        <v>98</v>
      </c>
      <c r="G117" t="str">
        <f t="shared" si="4"/>
        <v>Eligible</v>
      </c>
    </row>
    <row r="118" spans="1:7" x14ac:dyDescent="0.3">
      <c r="A118">
        <v>5</v>
      </c>
      <c r="B118" t="s">
        <v>41</v>
      </c>
      <c r="C118">
        <v>55</v>
      </c>
      <c r="D118">
        <v>60</v>
      </c>
      <c r="E118">
        <v>58</v>
      </c>
      <c r="F118">
        <v>80</v>
      </c>
      <c r="G118" t="str">
        <f t="shared" si="4"/>
        <v>Not Eligible</v>
      </c>
    </row>
    <row r="121" spans="1:7" x14ac:dyDescent="0.3">
      <c r="A121" t="s">
        <v>101</v>
      </c>
    </row>
    <row r="122" spans="1:7" x14ac:dyDescent="0.3">
      <c r="A122" t="s">
        <v>57</v>
      </c>
    </row>
    <row r="123" spans="1:7" x14ac:dyDescent="0.3">
      <c r="A123" t="s">
        <v>4</v>
      </c>
      <c r="B123" t="s">
        <v>5</v>
      </c>
      <c r="C123" t="s">
        <v>6</v>
      </c>
      <c r="D123" t="s">
        <v>7</v>
      </c>
      <c r="E123" t="s">
        <v>8</v>
      </c>
      <c r="F123" t="s">
        <v>9</v>
      </c>
      <c r="G123" t="s">
        <v>10</v>
      </c>
    </row>
    <row r="124" spans="1:7" x14ac:dyDescent="0.3">
      <c r="A124">
        <v>301</v>
      </c>
      <c r="B124" t="s">
        <v>11</v>
      </c>
      <c r="C124" t="s">
        <v>12</v>
      </c>
      <c r="D124" t="s">
        <v>13</v>
      </c>
      <c r="E124">
        <v>2</v>
      </c>
      <c r="F124">
        <v>45000</v>
      </c>
      <c r="G124" t="s">
        <v>14</v>
      </c>
    </row>
    <row r="125" spans="1:7" x14ac:dyDescent="0.3">
      <c r="A125">
        <v>302</v>
      </c>
      <c r="B125" t="s">
        <v>15</v>
      </c>
      <c r="C125" t="s">
        <v>16</v>
      </c>
      <c r="D125" t="s">
        <v>17</v>
      </c>
      <c r="E125">
        <v>5</v>
      </c>
      <c r="F125">
        <v>15000</v>
      </c>
      <c r="G125" t="s">
        <v>18</v>
      </c>
    </row>
    <row r="126" spans="1:7" x14ac:dyDescent="0.3">
      <c r="A126">
        <v>303</v>
      </c>
      <c r="B126" t="s">
        <v>19</v>
      </c>
      <c r="C126" t="s">
        <v>20</v>
      </c>
      <c r="D126" t="s">
        <v>21</v>
      </c>
      <c r="E126">
        <v>3</v>
      </c>
      <c r="F126">
        <v>18000</v>
      </c>
      <c r="G126" t="s">
        <v>22</v>
      </c>
    </row>
    <row r="127" spans="1:7" x14ac:dyDescent="0.3">
      <c r="A127">
        <v>304</v>
      </c>
      <c r="B127" t="s">
        <v>23</v>
      </c>
      <c r="C127" t="s">
        <v>24</v>
      </c>
      <c r="D127" t="s">
        <v>13</v>
      </c>
      <c r="E127">
        <v>1</v>
      </c>
      <c r="F127">
        <v>45000</v>
      </c>
      <c r="G127" t="s">
        <v>25</v>
      </c>
    </row>
    <row r="128" spans="1:7" x14ac:dyDescent="0.3">
      <c r="A128">
        <v>305</v>
      </c>
      <c r="B128" t="s">
        <v>11</v>
      </c>
      <c r="C128" t="s">
        <v>12</v>
      </c>
      <c r="D128" t="s">
        <v>17</v>
      </c>
      <c r="E128">
        <v>4</v>
      </c>
      <c r="F128">
        <v>15000</v>
      </c>
      <c r="G128" t="s">
        <v>26</v>
      </c>
    </row>
    <row r="129" spans="1:7" x14ac:dyDescent="0.3">
      <c r="A129">
        <v>306</v>
      </c>
      <c r="B129" t="s">
        <v>15</v>
      </c>
      <c r="C129" t="s">
        <v>16</v>
      </c>
      <c r="D129" t="s">
        <v>13</v>
      </c>
      <c r="E129">
        <v>2</v>
      </c>
      <c r="F129">
        <v>45000</v>
      </c>
      <c r="G129" t="s">
        <v>27</v>
      </c>
    </row>
  </sheetData>
  <pageMargins left="0.7" right="0.7" top="0.75" bottom="0.75" header="0.3" footer="0.3"/>
  <ignoredErrors>
    <ignoredError sqref="C44:D4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Priyanshi</cp:lastModifiedBy>
  <dcterms:created xsi:type="dcterms:W3CDTF">2025-12-20T09:26:06Z</dcterms:created>
  <dcterms:modified xsi:type="dcterms:W3CDTF">2026-07-08T17:24:37Z</dcterms:modified>
</cp:coreProperties>
</file>