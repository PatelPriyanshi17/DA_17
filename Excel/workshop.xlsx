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pivotTables/pivotTable5.xml" ContentType="application/vnd.openxmlformats-officedocument.spreadsheetml.pivotTable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pivotTables/pivotTable6.xml" ContentType="application/vnd.openxmlformats-officedocument.spreadsheetml.pivotTable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pivotTables/pivotTable7.xml" ContentType="application/vnd.openxmlformats-officedocument.spreadsheetml.pivotTable+xml"/>
  <Override PartName="/xl/drawings/drawing11.xml" ContentType="application/vnd.openxmlformats-officedocument.drawing+xml"/>
  <Override PartName="/xl/charts/chart8.xml" ContentType="application/vnd.openxmlformats-officedocument.drawingml.chart+xml"/>
  <Override PartName="/xl/pivotTables/pivotTable8.xml" ContentType="application/vnd.openxmlformats-officedocument.spreadsheetml.pivotTable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pivotTables/pivotTable9.xml" ContentType="application/vnd.openxmlformats-officedocument.spreadsheetml.pivotTable+xml"/>
  <Override PartName="/xl/drawings/drawing13.xml" ContentType="application/vnd.openxmlformats-officedocument.drawing+xml"/>
  <Override PartName="/xl/charts/chart10.xml" ContentType="application/vnd.openxmlformats-officedocument.drawingml.chart+xml"/>
  <Override PartName="/xl/pivotTables/pivotTable10.xml" ContentType="application/vnd.openxmlformats-officedocument.spreadsheetml.pivotTable+xml"/>
  <Override PartName="/xl/drawings/drawing14.xml" ContentType="application/vnd.openxmlformats-officedocument.drawing+xml"/>
  <Override PartName="/xl/charts/chart11.xml" ContentType="application/vnd.openxmlformats-officedocument.drawingml.chart+xml"/>
  <Override PartName="/xl/pivotTables/pivotTable11.xml" ContentType="application/vnd.openxmlformats-officedocument.spreadsheetml.pivotTable+xml"/>
  <Override PartName="/xl/drawings/drawing15.xml" ContentType="application/vnd.openxmlformats-officedocument.drawing+xml"/>
  <Override PartName="/xl/charts/chart12.xml" ContentType="application/vnd.openxmlformats-officedocument.drawingml.chart+xml"/>
  <Override PartName="/xl/pivotTables/pivotTable12.xml" ContentType="application/vnd.openxmlformats-officedocument.spreadsheetml.pivotTable+xml"/>
  <Override PartName="/xl/drawings/drawing16.xml" ContentType="application/vnd.openxmlformats-officedocument.drawing+xml"/>
  <Override PartName="/xl/charts/chart13.xml" ContentType="application/vnd.openxmlformats-officedocument.drawingml.chart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7.xml" ContentType="application/vnd.openxmlformats-officedocument.drawing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DC7\Desktop\DA-17-PPRIYANSHI\"/>
    </mc:Choice>
  </mc:AlternateContent>
  <xr:revisionPtr revIDLastSave="0" documentId="13_ncr:1_{17396FDC-F101-42DE-A6F4-24CBD3746B40}" xr6:coauthVersionLast="47" xr6:coauthVersionMax="47" xr10:uidLastSave="{00000000-0000-0000-0000-000000000000}"/>
  <bookViews>
    <workbookView xWindow="-120" yWindow="-120" windowWidth="29040" windowHeight="15720" tabRatio="1000" activeTab="23" xr2:uid="{24E46A04-8C63-4F08-B7AE-5ED61F26858A}"/>
  </bookViews>
  <sheets>
    <sheet name="Home" sheetId="116" r:id="rId1"/>
    <sheet name="1" sheetId="1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30" r:id="rId29"/>
    <sheet name="29" sheetId="31" r:id="rId30"/>
    <sheet name="30" sheetId="32" r:id="rId31"/>
    <sheet name="31" sheetId="33" r:id="rId32"/>
    <sheet name="32" sheetId="34" r:id="rId33"/>
    <sheet name="33" sheetId="35" r:id="rId34"/>
    <sheet name="34" sheetId="36" r:id="rId35"/>
    <sheet name="35" sheetId="37" r:id="rId36"/>
    <sheet name="36" sheetId="38" r:id="rId37"/>
    <sheet name="37" sheetId="39" r:id="rId38"/>
    <sheet name="38" sheetId="40" r:id="rId39"/>
    <sheet name="39" sheetId="41" r:id="rId40"/>
    <sheet name="40" sheetId="42" r:id="rId41"/>
    <sheet name="41" sheetId="43" r:id="rId42"/>
    <sheet name="42" sheetId="44" r:id="rId43"/>
    <sheet name="43" sheetId="45" r:id="rId44"/>
    <sheet name="44" sheetId="46" r:id="rId45"/>
    <sheet name="45" sheetId="47" r:id="rId46"/>
    <sheet name="46" sheetId="48" r:id="rId47"/>
    <sheet name="47" sheetId="49" r:id="rId48"/>
    <sheet name="48" sheetId="50" r:id="rId49"/>
    <sheet name="49" sheetId="51" r:id="rId50"/>
    <sheet name="50" sheetId="52" r:id="rId51"/>
    <sheet name="51" sheetId="53" r:id="rId52"/>
    <sheet name="52" sheetId="54" r:id="rId53"/>
    <sheet name="53" sheetId="55" r:id="rId54"/>
    <sheet name="54" sheetId="56" r:id="rId55"/>
    <sheet name="55" sheetId="57" r:id="rId56"/>
    <sheet name="56" sheetId="58" r:id="rId57"/>
    <sheet name="57" sheetId="59" r:id="rId58"/>
    <sheet name="58" sheetId="60" r:id="rId59"/>
    <sheet name="59" sheetId="61" r:id="rId60"/>
    <sheet name="60" sheetId="62" r:id="rId61"/>
    <sheet name="61" sheetId="63" r:id="rId62"/>
    <sheet name="62" sheetId="64" r:id="rId63"/>
    <sheet name="63" sheetId="65" r:id="rId64"/>
    <sheet name="64" sheetId="66" r:id="rId65"/>
    <sheet name="65" sheetId="67" r:id="rId66"/>
    <sheet name="66" sheetId="68" r:id="rId67"/>
    <sheet name="67" sheetId="69" r:id="rId68"/>
    <sheet name="68" sheetId="70" r:id="rId69"/>
    <sheet name="69" sheetId="71" r:id="rId70"/>
    <sheet name="70" sheetId="72" r:id="rId71"/>
    <sheet name="71" sheetId="84" r:id="rId72"/>
    <sheet name="72" sheetId="85" r:id="rId73"/>
    <sheet name="73" sheetId="86" r:id="rId74"/>
    <sheet name="74" sheetId="87" r:id="rId75"/>
    <sheet name="Sheet1" sheetId="93" r:id="rId76"/>
    <sheet name="Sheet2" sheetId="94" r:id="rId77"/>
    <sheet name="75 PIVOT" sheetId="88" r:id="rId78"/>
    <sheet name="Main Data" sheetId="79" r:id="rId79"/>
    <sheet name="Emp. info" sheetId="80" r:id="rId80"/>
    <sheet name="Dashboard 1" sheetId="81" r:id="rId81"/>
    <sheet name="Extra" sheetId="29" r:id="rId82"/>
    <sheet name="Dashboard (2)" sheetId="82" r:id="rId83"/>
    <sheet name="Dashboard (3)" sheetId="83" r:id="rId84"/>
    <sheet name="0 (6)" sheetId="89" r:id="rId85"/>
    <sheet name="0 (7)" sheetId="90" r:id="rId86"/>
    <sheet name="0 (8)" sheetId="91" r:id="rId87"/>
    <sheet name="0 (9)" sheetId="92" r:id="rId88"/>
    <sheet name="Sheet12" sheetId="104" r:id="rId89"/>
    <sheet name="Sheet13" sheetId="105" r:id="rId90"/>
    <sheet name="Sheet14" sheetId="106" r:id="rId91"/>
    <sheet name="Sheet15" sheetId="107" r:id="rId92"/>
    <sheet name="Sheet16" sheetId="108" r:id="rId93"/>
    <sheet name="Sheet17" sheetId="109" r:id="rId94"/>
    <sheet name="Sheet18" sheetId="110" r:id="rId95"/>
    <sheet name="Sheet19" sheetId="111" r:id="rId96"/>
    <sheet name="Sheet20" sheetId="112" r:id="rId97"/>
    <sheet name="Sheet21" sheetId="113" r:id="rId98"/>
    <sheet name="Sheet22" sheetId="114" r:id="rId99"/>
    <sheet name="Sheet23" sheetId="115" r:id="rId100"/>
  </sheets>
  <definedNames>
    <definedName name="_xlnm._FilterDatabase" localSheetId="14" hidden="1">'14'!$B$3:$D$8</definedName>
    <definedName name="_xlnm._FilterDatabase" localSheetId="15" hidden="1">'15'!$B$3:$B$9</definedName>
    <definedName name="_xlnm._FilterDatabase" localSheetId="16" hidden="1">'16'!$B$3:$B$9</definedName>
    <definedName name="_xlnm._FilterDatabase" localSheetId="17" hidden="1">'17'!$B$3:$B$9</definedName>
    <definedName name="_xlnm._FilterDatabase" localSheetId="18" hidden="1">'18'!$B$3:$B$9</definedName>
    <definedName name="_xlnm._FilterDatabase" localSheetId="19" hidden="1">'19'!$B$3:$B$9</definedName>
    <definedName name="_xlnm._FilterDatabase" localSheetId="20" hidden="1">'20'!$B$3:$B$9</definedName>
    <definedName name="_xlnm._FilterDatabase" localSheetId="21" hidden="1">'21'!$B$3:$B$9</definedName>
    <definedName name="_xlnm._FilterDatabase" localSheetId="22" hidden="1">'22'!$B$3:$B$9</definedName>
    <definedName name="_xlnm._FilterDatabase" localSheetId="25" hidden="1">'25'!$B$5:$F$15</definedName>
    <definedName name="_xlnm._FilterDatabase" localSheetId="26" hidden="1">'26'!$B$3:$B$9</definedName>
    <definedName name="_xlnm._FilterDatabase" localSheetId="29" hidden="1">'29'!$B$3:$B$9</definedName>
    <definedName name="_xlnm._FilterDatabase" localSheetId="30" hidden="1">'30'!$B$3:$B$9</definedName>
    <definedName name="_xlnm._FilterDatabase" localSheetId="31" hidden="1">'31'!$B$3:$B$9</definedName>
    <definedName name="_xlnm._FilterDatabase" localSheetId="32" hidden="1">'32'!$B$3:$B$7</definedName>
    <definedName name="_xlnm._FilterDatabase" localSheetId="46" hidden="1">'46'!#REF!</definedName>
    <definedName name="_xlnm._FilterDatabase" localSheetId="47" hidden="1">'47'!#REF!</definedName>
    <definedName name="_xlnm._FilterDatabase" localSheetId="49" hidden="1">'49'!#REF!</definedName>
    <definedName name="a">_xlfn.XLOOKUP('69'!$F$4,'69'!$B$4:$B$7,'69'!$D$4:$D$7)</definedName>
    <definedName name="ab">_xlfn.XLOOKUP('69'!XFD1048575,'69'!$B$4:$B$7,'69'!$D$4:$D$7)</definedName>
    <definedName name="ira">'Main Data'!$A$1:$H$101</definedName>
    <definedName name="xyz">_xlfn.XLOOKUP('69'!$F$4,'69'!$B$3:$B$7,'69'!$D$3:$D$7)</definedName>
  </definedNames>
  <calcPr calcId="191029"/>
  <pivotCaches>
    <pivotCache cacheId="0" r:id="rId101"/>
    <pivotCache cacheId="1" r:id="rId10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22" l="1"/>
  <c r="G9" i="20"/>
  <c r="G10" i="20"/>
  <c r="I5" i="19"/>
  <c r="I5" i="17"/>
  <c r="G4" i="12"/>
  <c r="F17" i="11"/>
  <c r="F4" i="10"/>
  <c r="E8" i="9"/>
  <c r="E6" i="8"/>
  <c r="E7" i="8"/>
  <c r="E5" i="8"/>
  <c r="F9" i="6"/>
  <c r="F5" i="6"/>
  <c r="F6" i="6"/>
  <c r="F7" i="6"/>
  <c r="F8" i="6"/>
  <c r="F10" i="6"/>
  <c r="F11" i="6"/>
  <c r="F12" i="6"/>
  <c r="F13" i="6"/>
  <c r="G18" i="4"/>
  <c r="H18" i="5"/>
  <c r="G4" i="4"/>
  <c r="G17" i="3"/>
  <c r="E12" i="1"/>
  <c r="F12" i="1"/>
  <c r="D12" i="1"/>
  <c r="G5" i="1"/>
  <c r="G6" i="1"/>
  <c r="G7" i="1"/>
  <c r="G8" i="1"/>
  <c r="G9" i="1"/>
  <c r="G10" i="1"/>
  <c r="G11" i="1"/>
  <c r="G4" i="1"/>
  <c r="D20" i="1"/>
  <c r="D24" i="1"/>
  <c r="D27" i="1"/>
  <c r="E3" i="3"/>
  <c r="E4" i="3"/>
  <c r="G4" i="3"/>
  <c r="E5" i="3"/>
  <c r="G5" i="3"/>
  <c r="E6" i="3"/>
  <c r="E7" i="3"/>
  <c r="F7" i="3"/>
  <c r="E8" i="3"/>
  <c r="E9" i="3"/>
  <c r="F9" i="3"/>
  <c r="E10" i="3"/>
  <c r="F10" i="3"/>
  <c r="E11" i="3"/>
  <c r="E12" i="3"/>
  <c r="E13" i="3"/>
  <c r="I4" i="4" a="1"/>
  <c r="I4" i="4" s="1"/>
  <c r="H4" i="5"/>
  <c r="H5" i="5"/>
  <c r="H6" i="5"/>
  <c r="F4" i="6"/>
  <c r="B25" i="6"/>
  <c r="F4" i="7"/>
  <c r="F5" i="7"/>
  <c r="F6" i="7"/>
  <c r="F7" i="7"/>
  <c r="F8" i="7"/>
  <c r="F9" i="7"/>
  <c r="F10" i="7"/>
  <c r="F11" i="7"/>
  <c r="F12" i="7"/>
  <c r="F14" i="7"/>
  <c r="E4" i="8"/>
  <c r="E8" i="8" s="1"/>
  <c r="E4" i="9"/>
  <c r="E6" i="9" s="1"/>
  <c r="G4" i="11"/>
  <c r="G5" i="11"/>
  <c r="G6" i="11"/>
  <c r="G7" i="11"/>
  <c r="G8" i="11"/>
  <c r="G9" i="11"/>
  <c r="G10" i="11"/>
  <c r="G11" i="11"/>
  <c r="G4" i="13"/>
  <c r="G5" i="13"/>
  <c r="G6" i="13"/>
  <c r="H4" i="14"/>
  <c r="I3" i="16"/>
  <c r="I3" i="17"/>
  <c r="I4" i="17"/>
  <c r="I3" i="18"/>
  <c r="I3" i="19"/>
  <c r="I4" i="19"/>
  <c r="F4" i="20"/>
  <c r="F5" i="20"/>
  <c r="G5" i="20" s="1"/>
  <c r="F6" i="20"/>
  <c r="G6" i="20" s="1"/>
  <c r="F7" i="20"/>
  <c r="G7" i="20" s="1"/>
  <c r="F8" i="20"/>
  <c r="G8" i="20" s="1"/>
  <c r="F9" i="20"/>
  <c r="F10" i="20"/>
  <c r="F11" i="20"/>
  <c r="G11" i="20" s="1"/>
  <c r="E4" i="21"/>
  <c r="E4" i="23"/>
  <c r="G4" i="24"/>
  <c r="G8" i="24"/>
  <c r="H4" i="25"/>
  <c r="C3" i="26"/>
  <c r="F6" i="26"/>
  <c r="F7" i="26"/>
  <c r="F8" i="26"/>
  <c r="F9" i="26"/>
  <c r="F10" i="26"/>
  <c r="F11" i="26"/>
  <c r="F12" i="26"/>
  <c r="F13" i="26"/>
  <c r="F14" i="26"/>
  <c r="F4" i="27"/>
  <c r="G4" i="27" s="1"/>
  <c r="F5" i="27"/>
  <c r="G5" i="27" s="1"/>
  <c r="F6" i="27"/>
  <c r="G6" i="27" s="1"/>
  <c r="F7" i="27"/>
  <c r="G7" i="27" s="1"/>
  <c r="F8" i="27"/>
  <c r="G8" i="27" s="1"/>
  <c r="F9" i="27"/>
  <c r="G9" i="27" s="1"/>
  <c r="F10" i="27"/>
  <c r="G10" i="27" s="1"/>
  <c r="F11" i="27"/>
  <c r="G11" i="27" s="1"/>
  <c r="D14" i="27"/>
  <c r="D18" i="27"/>
  <c r="E18" i="27"/>
  <c r="D19" i="27"/>
  <c r="E19" i="27"/>
  <c r="D20" i="27"/>
  <c r="E20" i="27"/>
  <c r="D21" i="27"/>
  <c r="E21" i="27"/>
  <c r="D22" i="27"/>
  <c r="E22" i="27"/>
  <c r="D23" i="27"/>
  <c r="E23" i="27"/>
  <c r="D24" i="27"/>
  <c r="E24" i="27"/>
  <c r="D25" i="27"/>
  <c r="E25" i="27"/>
  <c r="D4" i="28"/>
  <c r="D13" i="28" s="1"/>
  <c r="D5" i="28"/>
  <c r="D6" i="28"/>
  <c r="D7" i="28"/>
  <c r="D8" i="28"/>
  <c r="D9" i="28"/>
  <c r="D10" i="28"/>
  <c r="D11" i="28"/>
  <c r="D12" i="28"/>
  <c r="C4" i="30"/>
  <c r="C5" i="30"/>
  <c r="C6" i="30"/>
  <c r="C7" i="30"/>
  <c r="C8" i="30"/>
  <c r="C9" i="30"/>
  <c r="C10" i="30"/>
  <c r="C11" i="30"/>
  <c r="C12" i="30"/>
  <c r="D4" i="32"/>
  <c r="D5" i="32"/>
  <c r="D6" i="32"/>
  <c r="D7" i="32"/>
  <c r="D8" i="32"/>
  <c r="D9" i="32"/>
  <c r="D10" i="32"/>
  <c r="D11" i="32"/>
  <c r="C4" i="34"/>
  <c r="F4" i="34"/>
  <c r="G4" i="34"/>
  <c r="C5" i="34"/>
  <c r="F5" i="34"/>
  <c r="G5" i="34"/>
  <c r="C6" i="34"/>
  <c r="F6" i="34"/>
  <c r="G6" i="34"/>
  <c r="C7" i="34"/>
  <c r="F7" i="34"/>
  <c r="G7" i="34"/>
  <c r="C10" i="34"/>
  <c r="F10" i="34"/>
  <c r="C11" i="34"/>
  <c r="F11" i="34"/>
  <c r="C12" i="34"/>
  <c r="F12" i="34"/>
  <c r="C13" i="34"/>
  <c r="F13" i="34"/>
  <c r="C4" i="35"/>
  <c r="C5" i="35"/>
  <c r="C6" i="35"/>
  <c r="C7" i="35"/>
  <c r="C8" i="35"/>
  <c r="C9" i="35"/>
  <c r="C10" i="35"/>
  <c r="C11" i="35"/>
  <c r="C12" i="35"/>
  <c r="C4" i="36"/>
  <c r="C5" i="36"/>
  <c r="C6" i="36"/>
  <c r="C7" i="36"/>
  <c r="C8" i="36"/>
  <c r="C9" i="36"/>
  <c r="C10" i="36"/>
  <c r="C11" i="36"/>
  <c r="C12" i="36"/>
  <c r="C4" i="37"/>
  <c r="C5" i="37"/>
  <c r="C6" i="37"/>
  <c r="C7" i="37"/>
  <c r="C8" i="37"/>
  <c r="C9" i="37"/>
  <c r="C10" i="37"/>
  <c r="C11" i="37"/>
  <c r="C12" i="37"/>
  <c r="E4" i="38"/>
  <c r="E5" i="38"/>
  <c r="E6" i="38"/>
  <c r="E7" i="38"/>
  <c r="E8" i="38"/>
  <c r="E4" i="39"/>
  <c r="E5" i="39"/>
  <c r="E6" i="39"/>
  <c r="E7" i="39"/>
  <c r="E8" i="39"/>
  <c r="C11" i="39"/>
  <c r="C12" i="39"/>
  <c r="C13" i="39"/>
  <c r="E4" i="40"/>
  <c r="E5" i="40"/>
  <c r="E6" i="40"/>
  <c r="E7" i="40"/>
  <c r="E8" i="40"/>
  <c r="C4" i="41"/>
  <c r="C5" i="41"/>
  <c r="C6" i="41"/>
  <c r="C7" i="41"/>
  <c r="C9" i="41"/>
  <c r="E9" i="41"/>
  <c r="C10" i="41"/>
  <c r="E10" i="41"/>
  <c r="C11" i="41"/>
  <c r="E11" i="41"/>
  <c r="C4" i="42"/>
  <c r="C5" i="42"/>
  <c r="C6" i="42"/>
  <c r="C7" i="42"/>
  <c r="C8" i="42"/>
  <c r="C10" i="42"/>
  <c r="C11" i="42"/>
  <c r="C12" i="42"/>
  <c r="C13" i="42"/>
  <c r="C4" i="43"/>
  <c r="C5" i="43"/>
  <c r="C6" i="43"/>
  <c r="C7" i="43"/>
  <c r="C4" i="45"/>
  <c r="C5" i="45"/>
  <c r="C6" i="45"/>
  <c r="C7" i="45"/>
  <c r="C4" i="46"/>
  <c r="C5" i="46"/>
  <c r="C6" i="46"/>
  <c r="C7" i="46"/>
  <c r="B10" i="48" a="1"/>
  <c r="G10" i="48" s="1"/>
  <c r="C8" i="49" a="1"/>
  <c r="C8" i="49" s="1"/>
  <c r="C9" i="49" a="1"/>
  <c r="C9" i="49" s="1"/>
  <c r="C12" i="49" a="1"/>
  <c r="C12" i="49" s="1"/>
  <c r="C13" i="49" a="1"/>
  <c r="C13" i="49" s="1"/>
  <c r="B4" i="50"/>
  <c r="C4" i="50"/>
  <c r="B4" i="51"/>
  <c r="B5" i="51"/>
  <c r="E8" i="51"/>
  <c r="E9" i="51"/>
  <c r="E10" i="51"/>
  <c r="E11" i="51"/>
  <c r="E12" i="51"/>
  <c r="C4" i="52"/>
  <c r="D4" i="52"/>
  <c r="E4" i="52"/>
  <c r="C5" i="52"/>
  <c r="D5" i="52"/>
  <c r="E5" i="52"/>
  <c r="C6" i="52"/>
  <c r="D6" i="52"/>
  <c r="E6" i="52"/>
  <c r="C7" i="52"/>
  <c r="D7" i="52"/>
  <c r="E7" i="52"/>
  <c r="C8" i="52"/>
  <c r="D8" i="52"/>
  <c r="E8" i="52"/>
  <c r="D4" i="53"/>
  <c r="D5" i="53"/>
  <c r="D6" i="53"/>
  <c r="D7" i="53"/>
  <c r="D8" i="53"/>
  <c r="C4" i="54"/>
  <c r="C5" i="54"/>
  <c r="C6" i="54"/>
  <c r="C7" i="54"/>
  <c r="C8" i="54"/>
  <c r="C4" i="55"/>
  <c r="C5" i="55"/>
  <c r="C6" i="55"/>
  <c r="C7" i="55"/>
  <c r="C8" i="55"/>
  <c r="C4" i="56"/>
  <c r="F4" i="56" s="1"/>
  <c r="C5" i="56"/>
  <c r="E5" i="56" s="1"/>
  <c r="C6" i="56"/>
  <c r="D6" i="56" s="1"/>
  <c r="C7" i="56"/>
  <c r="F7" i="56" s="1"/>
  <c r="C8" i="56"/>
  <c r="E8" i="56" s="1"/>
  <c r="D4" i="57"/>
  <c r="D5" i="57"/>
  <c r="D6" i="57"/>
  <c r="D7" i="57"/>
  <c r="D8" i="57"/>
  <c r="D4" i="58"/>
  <c r="E4" i="58" s="1"/>
  <c r="D5" i="58"/>
  <c r="D6" i="58"/>
  <c r="D7" i="58"/>
  <c r="D8" i="58"/>
  <c r="D4" i="59"/>
  <c r="E4" i="59"/>
  <c r="D5" i="59"/>
  <c r="D6" i="59"/>
  <c r="D7" i="59"/>
  <c r="D8" i="59"/>
  <c r="D4" i="60"/>
  <c r="D4" i="61"/>
  <c r="H4" i="61"/>
  <c r="D5" i="61"/>
  <c r="H5" i="61"/>
  <c r="D6" i="61"/>
  <c r="H6" i="61"/>
  <c r="D7" i="61"/>
  <c r="H7" i="61"/>
  <c r="D8" i="61"/>
  <c r="H8" i="61"/>
  <c r="D11" i="61"/>
  <c r="H11" i="61"/>
  <c r="D12" i="61"/>
  <c r="H12" i="61"/>
  <c r="D13" i="61"/>
  <c r="H13" i="61"/>
  <c r="D14" i="61"/>
  <c r="H14" i="61"/>
  <c r="D17" i="61"/>
  <c r="D18" i="61"/>
  <c r="D19" i="61"/>
  <c r="D20" i="61"/>
  <c r="D21" i="61"/>
  <c r="F4" i="62"/>
  <c r="G4" i="62"/>
  <c r="F5" i="62"/>
  <c r="F6" i="62"/>
  <c r="F7" i="62"/>
  <c r="F8" i="62"/>
  <c r="F17" i="62"/>
  <c r="F18" i="62"/>
  <c r="F19" i="62"/>
  <c r="F20" i="62"/>
  <c r="F21" i="62"/>
  <c r="F22" i="62"/>
  <c r="F23" i="62"/>
  <c r="F24" i="62"/>
  <c r="D4" i="63"/>
  <c r="F4" i="63"/>
  <c r="D5" i="63"/>
  <c r="F5" i="63"/>
  <c r="D6" i="63"/>
  <c r="F6" i="63"/>
  <c r="D7" i="63"/>
  <c r="F7" i="63"/>
  <c r="D8" i="63"/>
  <c r="F8" i="63"/>
  <c r="D17" i="63"/>
  <c r="D18" i="63"/>
  <c r="D19" i="63"/>
  <c r="D20" i="63"/>
  <c r="D21" i="63"/>
  <c r="D22" i="63"/>
  <c r="D23" i="63"/>
  <c r="D24" i="63"/>
  <c r="F4" i="64"/>
  <c r="H4" i="64" a="1"/>
  <c r="H4" i="64" s="1"/>
  <c r="F5" i="64"/>
  <c r="H5" i="64" a="1"/>
  <c r="H5" i="64" s="1"/>
  <c r="F6" i="64"/>
  <c r="H6" i="64" a="1"/>
  <c r="H6" i="64" s="1"/>
  <c r="F7" i="64"/>
  <c r="H7" i="64" a="1"/>
  <c r="H7" i="64" s="1"/>
  <c r="F8" i="64"/>
  <c r="H8" i="64" a="1"/>
  <c r="H8" i="64" s="1"/>
  <c r="G11" i="64" a="1"/>
  <c r="G11" i="64" s="1"/>
  <c r="D17" i="64" a="1"/>
  <c r="D17" i="64" s="1"/>
  <c r="D18" i="64" a="1"/>
  <c r="D18" i="64" s="1"/>
  <c r="D19" i="64" a="1"/>
  <c r="D19" i="64" s="1"/>
  <c r="D20" i="64" a="1"/>
  <c r="D20" i="64" s="1"/>
  <c r="D21" i="64" a="1"/>
  <c r="D21" i="64" s="1"/>
  <c r="I4" i="65"/>
  <c r="I7" i="65"/>
  <c r="C12" i="65"/>
  <c r="D12" i="65"/>
  <c r="E12" i="65"/>
  <c r="F12" i="65"/>
  <c r="I12" i="65"/>
  <c r="J12" i="65"/>
  <c r="I17" i="65"/>
  <c r="C10" i="66"/>
  <c r="F10" i="66"/>
  <c r="J10" i="66"/>
  <c r="F11" i="66"/>
  <c r="F12" i="66"/>
  <c r="C13" i="66"/>
  <c r="F13" i="66"/>
  <c r="I4" i="67"/>
  <c r="C12" i="67"/>
  <c r="I4" i="69"/>
  <c r="I7" i="69"/>
  <c r="B15" i="69" a="1"/>
  <c r="C15" i="69" s="1"/>
  <c r="I4" i="70"/>
  <c r="C12" i="70"/>
  <c r="C26" i="70"/>
  <c r="D26" i="70"/>
  <c r="E26" i="70"/>
  <c r="F26" i="70"/>
  <c r="C37" i="70"/>
  <c r="F37" i="70"/>
  <c r="F38" i="70"/>
  <c r="F39" i="70"/>
  <c r="F40" i="70"/>
  <c r="I4" i="71"/>
  <c r="I5" i="71"/>
  <c r="I6" i="71"/>
  <c r="I7" i="71"/>
  <c r="I8" i="71"/>
  <c r="K8" i="71"/>
  <c r="I9" i="71"/>
  <c r="I10" i="71"/>
  <c r="I11" i="71"/>
  <c r="I12" i="71"/>
  <c r="I13" i="71"/>
  <c r="I14" i="71"/>
  <c r="I15" i="71"/>
  <c r="I16" i="71"/>
  <c r="I17" i="71"/>
  <c r="I18" i="71"/>
  <c r="I19" i="71"/>
  <c r="G7" i="72" a="1"/>
  <c r="H8" i="72" s="1"/>
  <c r="G20" i="72" a="1"/>
  <c r="G21" i="72" s="1"/>
  <c r="C16" i="84"/>
  <c r="E16" i="84"/>
  <c r="I8" i="88"/>
  <c r="I9" i="88"/>
  <c r="I10" i="88"/>
  <c r="I11" i="88"/>
  <c r="I12" i="88"/>
  <c r="I13" i="88"/>
  <c r="I14" i="88"/>
  <c r="I15" i="88"/>
  <c r="I16" i="88"/>
  <c r="I17" i="88"/>
  <c r="I18" i="88"/>
  <c r="I19" i="88"/>
  <c r="I20" i="88"/>
  <c r="I21" i="88"/>
  <c r="I22" i="88"/>
  <c r="I23" i="88"/>
  <c r="I24" i="88"/>
  <c r="I25" i="88"/>
  <c r="I26" i="88"/>
  <c r="I27" i="88"/>
  <c r="I28" i="88"/>
  <c r="I29" i="88"/>
  <c r="I30" i="88"/>
  <c r="I31" i="88"/>
  <c r="I32" i="88"/>
  <c r="I33" i="88"/>
  <c r="I34" i="88"/>
  <c r="I35" i="88"/>
  <c r="I36" i="88"/>
  <c r="I37" i="88"/>
  <c r="I38" i="88"/>
  <c r="I39" i="88"/>
  <c r="I40" i="88"/>
  <c r="I41" i="88"/>
  <c r="I42" i="88"/>
  <c r="I43" i="88"/>
  <c r="I44" i="88"/>
  <c r="I45" i="88"/>
  <c r="I46" i="88"/>
  <c r="I47" i="88"/>
  <c r="I48" i="88"/>
  <c r="I49" i="88"/>
  <c r="F5" i="9"/>
  <c r="F11" i="9"/>
  <c r="F9" i="9"/>
  <c r="F8" i="9"/>
  <c r="F7" i="9"/>
  <c r="F6" i="9"/>
  <c r="F12" i="9"/>
  <c r="F10" i="9"/>
  <c r="F4" i="9"/>
  <c r="E5" i="9" l="1"/>
  <c r="E12" i="9"/>
  <c r="E11" i="9"/>
  <c r="E10" i="9"/>
  <c r="E9" i="9"/>
  <c r="E7" i="9"/>
  <c r="G4" i="20"/>
  <c r="E12" i="8"/>
  <c r="G12" i="1"/>
  <c r="E11" i="8"/>
  <c r="E10" i="8"/>
  <c r="E9" i="8"/>
  <c r="I5" i="4"/>
  <c r="I7" i="4"/>
  <c r="D12" i="32"/>
  <c r="I7" i="72"/>
  <c r="F15" i="69"/>
  <c r="I3" i="26"/>
  <c r="B15" i="69"/>
  <c r="J9" i="72"/>
  <c r="H7" i="72"/>
  <c r="I9" i="72"/>
  <c r="I6" i="4"/>
  <c r="J8" i="72"/>
  <c r="G8" i="72"/>
  <c r="J7" i="72"/>
  <c r="H23" i="72"/>
  <c r="H24" i="72"/>
  <c r="G24" i="72"/>
  <c r="G22" i="72"/>
  <c r="G12" i="48"/>
  <c r="E11" i="48"/>
  <c r="I21" i="72"/>
  <c r="F12" i="48"/>
  <c r="B11" i="48"/>
  <c r="I23" i="72"/>
  <c r="D13" i="48"/>
  <c r="G20" i="72"/>
  <c r="C11" i="48"/>
  <c r="G23" i="72"/>
  <c r="J20" i="72"/>
  <c r="H9" i="72"/>
  <c r="G9" i="72"/>
  <c r="H21" i="72"/>
  <c r="C12" i="48"/>
  <c r="I22" i="72"/>
  <c r="I20" i="72"/>
  <c r="I8" i="72"/>
  <c r="G7" i="72"/>
  <c r="D15" i="69"/>
  <c r="E13" i="48"/>
  <c r="G11" i="48"/>
  <c r="E10" i="48"/>
  <c r="D11" i="48"/>
  <c r="J24" i="72"/>
  <c r="J23" i="72"/>
  <c r="D12" i="48"/>
  <c r="C10" i="48"/>
  <c r="E15" i="69"/>
  <c r="F13" i="48"/>
  <c r="B12" i="48"/>
  <c r="F10" i="48"/>
  <c r="J21" i="72"/>
  <c r="J22" i="72"/>
  <c r="C13" i="48"/>
  <c r="I24" i="72"/>
  <c r="H22" i="72"/>
  <c r="H20" i="72"/>
  <c r="B13" i="48"/>
  <c r="F11" i="48"/>
  <c r="D10" i="48"/>
  <c r="B10" i="48"/>
  <c r="G13" i="48"/>
  <c r="E12" i="48"/>
  <c r="D8" i="56"/>
  <c r="F8" i="56"/>
  <c r="E6" i="56"/>
  <c r="E4" i="56"/>
  <c r="F5" i="56"/>
  <c r="F6" i="56"/>
  <c r="D5" i="56"/>
  <c r="D4" i="56"/>
  <c r="E7" i="56"/>
  <c r="D7" i="56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<sst xmlns="http://schemas.openxmlformats.org/spreadsheetml/2006/main" count="3948" uniqueCount="980">
  <si>
    <t>Sr. No</t>
  </si>
  <si>
    <t>Formulas Name</t>
  </si>
  <si>
    <t>Home</t>
  </si>
  <si>
    <t>Sum &amp; Auto Sum Formula</t>
  </si>
  <si>
    <t>END</t>
  </si>
  <si>
    <t>Sumif Formula</t>
  </si>
  <si>
    <t>MAIN DATA</t>
  </si>
  <si>
    <t>Unique Formula</t>
  </si>
  <si>
    <t>DASHBOARD</t>
  </si>
  <si>
    <t>Sumifs Formula</t>
  </si>
  <si>
    <t>EMP INFO</t>
  </si>
  <si>
    <t>Product Formula (*)</t>
  </si>
  <si>
    <t>Sumproduct Formula</t>
  </si>
  <si>
    <t>Running Total</t>
  </si>
  <si>
    <t>Formulatext Formula</t>
  </si>
  <si>
    <t>Dynamic Formulas</t>
  </si>
  <si>
    <t>Average Formula</t>
  </si>
  <si>
    <t>Averageif Formula</t>
  </si>
  <si>
    <t>Iferror Formula</t>
  </si>
  <si>
    <t>Averageifs Formula</t>
  </si>
  <si>
    <t>LEN Magical Formula</t>
  </si>
  <si>
    <t>Max Formula</t>
  </si>
  <si>
    <t>Large Formula</t>
  </si>
  <si>
    <t>Min Formula</t>
  </si>
  <si>
    <t>Small Formula</t>
  </si>
  <si>
    <t>Rank Formula</t>
  </si>
  <si>
    <t>Count Formula</t>
  </si>
  <si>
    <t>Counta Formula</t>
  </si>
  <si>
    <t>Countblank Formula</t>
  </si>
  <si>
    <t>Countif Formula</t>
  </si>
  <si>
    <t>Countifs Formula</t>
  </si>
  <si>
    <t>Subtotal Formula</t>
  </si>
  <si>
    <t>Percentage Calculation</t>
  </si>
  <si>
    <t>Percentof Formula</t>
  </si>
  <si>
    <t>Rand Formula</t>
  </si>
  <si>
    <t>Randbetween Formula</t>
  </si>
  <si>
    <t>Abs Formula</t>
  </si>
  <si>
    <t>Convert Formula to Value</t>
  </si>
  <si>
    <t>Text Formula</t>
  </si>
  <si>
    <t>Upper Formula</t>
  </si>
  <si>
    <t>Lower Formula</t>
  </si>
  <si>
    <t>Proper Formula</t>
  </si>
  <si>
    <t>Concatenate Formula + Change Case</t>
  </si>
  <si>
    <t>&amp; Formula</t>
  </si>
  <si>
    <t>Textjoin Formula</t>
  </si>
  <si>
    <t>Left Formula</t>
  </si>
  <si>
    <t>Right Formula</t>
  </si>
  <si>
    <t>Mid Formula</t>
  </si>
  <si>
    <t>Flash Fill Magic</t>
  </si>
  <si>
    <t>Textbefore Formula</t>
  </si>
  <si>
    <t>Textafter Formula</t>
  </si>
  <si>
    <t>Trim Formula</t>
  </si>
  <si>
    <t>Transpose Formula</t>
  </si>
  <si>
    <t>Textsplit Formula</t>
  </si>
  <si>
    <t>Now &amp; Today</t>
  </si>
  <si>
    <t>Date Formula</t>
  </si>
  <si>
    <t>Day, Month &amp; Year Formula</t>
  </si>
  <si>
    <t>Days Formula</t>
  </si>
  <si>
    <t>Edate Formula</t>
  </si>
  <si>
    <t>Eomonth Formula</t>
  </si>
  <si>
    <t>Datedif Formula</t>
  </si>
  <si>
    <t>Workday Formula</t>
  </si>
  <si>
    <t>Workday.intl Formula</t>
  </si>
  <si>
    <t>Networkdays Formula</t>
  </si>
  <si>
    <t>Networkdays.intl Formula</t>
  </si>
  <si>
    <t>IF Formula</t>
  </si>
  <si>
    <t>IF + And Formula</t>
  </si>
  <si>
    <t>IF + OR Formula</t>
  </si>
  <si>
    <t>IFS Formula</t>
  </si>
  <si>
    <t>Vlookup Formula</t>
  </si>
  <si>
    <t>Hlookup Formula</t>
  </si>
  <si>
    <t>Match Formula</t>
  </si>
  <si>
    <t>Index Formula</t>
  </si>
  <si>
    <t>Index + Match Formula</t>
  </si>
  <si>
    <t>Xlookup Formula</t>
  </si>
  <si>
    <t>DSUM</t>
  </si>
  <si>
    <t>Filter Formula</t>
  </si>
  <si>
    <t>VLOOKUP FORMULA 1</t>
  </si>
  <si>
    <t>Color Sorting</t>
  </si>
  <si>
    <t>Customized Sorting</t>
  </si>
  <si>
    <t>Important Statistical&amp; Mathematical Function</t>
  </si>
  <si>
    <t>PIVOT</t>
  </si>
  <si>
    <t xml:space="preserve"> Sum &amp; Auto Sum Formula</t>
  </si>
  <si>
    <t>Product Name</t>
  </si>
  <si>
    <t>Region</t>
  </si>
  <si>
    <t>Jan</t>
  </si>
  <si>
    <t>Feb</t>
  </si>
  <si>
    <t>Mar</t>
  </si>
  <si>
    <t>Sum</t>
  </si>
  <si>
    <t>Tablet</t>
  </si>
  <si>
    <t>East</t>
  </si>
  <si>
    <t>Speaker</t>
  </si>
  <si>
    <t>West</t>
  </si>
  <si>
    <t>Webcam</t>
  </si>
  <si>
    <t>North</t>
  </si>
  <si>
    <t>Average</t>
  </si>
  <si>
    <t>Amount</t>
  </si>
  <si>
    <t>Keyboard</t>
  </si>
  <si>
    <t>Total</t>
  </si>
  <si>
    <t>Mouse</t>
  </si>
  <si>
    <t>Printer</t>
  </si>
  <si>
    <t xml:space="preserve"> Sumif Formula</t>
  </si>
  <si>
    <t>webcam</t>
  </si>
  <si>
    <t>&lt;10000</t>
  </si>
  <si>
    <t>if d4 me &gt;10000 hai to 5000 bonus de do, 5000 to 10000 hai to 3000 bonus do, &lt;5000 hai to 2000 bonus deo excel ka formula ready karo</t>
  </si>
  <si>
    <t>bhai mujhe excel ka formula ban ke do d4 se d13 ka total kar ke do but &gt;10000 ka</t>
  </si>
  <si>
    <t>Usb Mouse</t>
  </si>
  <si>
    <t>Monitor 15 inch</t>
  </si>
  <si>
    <t>Rgb Keyboard</t>
  </si>
  <si>
    <t>Wireless Mouse</t>
  </si>
  <si>
    <t>Monitor 24 inch</t>
  </si>
  <si>
    <t>Monitor</t>
  </si>
  <si>
    <t xml:space="preserve"> Unique Formula</t>
  </si>
  <si>
    <t>Router</t>
  </si>
  <si>
    <t>Monitor 14 inch</t>
  </si>
  <si>
    <t xml:space="preserve"> Sumifs Formula</t>
  </si>
  <si>
    <t>Shirt</t>
  </si>
  <si>
    <t>South</t>
  </si>
  <si>
    <t>Trousers</t>
  </si>
  <si>
    <t>Blazer</t>
  </si>
  <si>
    <t>Jacket</t>
  </si>
  <si>
    <t>Tablet 10 inch</t>
  </si>
  <si>
    <t>Smart Speaker</t>
  </si>
  <si>
    <t>Bluetooth Speaker</t>
  </si>
  <si>
    <t>Webcam Pro HD</t>
  </si>
  <si>
    <t>Webcam Mini</t>
  </si>
  <si>
    <t xml:space="preserve"> Product Formula (*)</t>
  </si>
  <si>
    <t>Qty</t>
  </si>
  <si>
    <t>Price</t>
  </si>
  <si>
    <t>Kurta</t>
  </si>
  <si>
    <t>Jeans</t>
  </si>
  <si>
    <t>Sweater</t>
  </si>
  <si>
    <t>Coat</t>
  </si>
  <si>
    <t>Numbers</t>
  </si>
  <si>
    <t xml:space="preserve"> Sumproduct Formula</t>
  </si>
  <si>
    <t>Chips</t>
  </si>
  <si>
    <t>Cookies</t>
  </si>
  <si>
    <t>Popcorn</t>
  </si>
  <si>
    <t>Namkeen</t>
  </si>
  <si>
    <t>Total Amount</t>
  </si>
  <si>
    <t xml:space="preserve"> Running Total</t>
  </si>
  <si>
    <t>Date</t>
  </si>
  <si>
    <t>Samosa</t>
  </si>
  <si>
    <t>Nachos</t>
  </si>
  <si>
    <t xml:space="preserve"> Formulatext Formula</t>
  </si>
  <si>
    <t xml:space="preserve">Product </t>
  </si>
  <si>
    <t xml:space="preserve"> Dynamic Formulas</t>
  </si>
  <si>
    <t>Headphones</t>
  </si>
  <si>
    <t>Projector</t>
  </si>
  <si>
    <t>Tripod</t>
  </si>
  <si>
    <t xml:space="preserve"> Average Formula</t>
  </si>
  <si>
    <t>Biscuit</t>
  </si>
  <si>
    <t>Chocolate</t>
  </si>
  <si>
    <t xml:space="preserve"> Averageif Formula</t>
  </si>
  <si>
    <t>Avg. Sale</t>
  </si>
  <si>
    <t>Notebook</t>
  </si>
  <si>
    <t>Pencil Box</t>
  </si>
  <si>
    <t>School Bag</t>
  </si>
  <si>
    <t xml:space="preserve"> Iferror Formula</t>
  </si>
  <si>
    <t>Necklace</t>
  </si>
  <si>
    <t>abcd</t>
  </si>
  <si>
    <t>Earrings</t>
  </si>
  <si>
    <t>Bracelet</t>
  </si>
  <si>
    <t xml:space="preserve"> Averageifs Formula</t>
  </si>
  <si>
    <t>Description (15 - 50 character )</t>
  </si>
  <si>
    <t>Phone No</t>
  </si>
  <si>
    <t>10-inch Android tablet, black</t>
  </si>
  <si>
    <t>HD 1080p webcam with mic</t>
  </si>
  <si>
    <t xml:space="preserve"> Max Formula</t>
  </si>
  <si>
    <t>Max Sale</t>
  </si>
  <si>
    <t>Birthday Cap</t>
  </si>
  <si>
    <t>Candle Set</t>
  </si>
  <si>
    <t>Balloon Pack</t>
  </si>
  <si>
    <t xml:space="preserve"> Large Formula</t>
  </si>
  <si>
    <t>1st Largest Sale</t>
  </si>
  <si>
    <t>Burger</t>
  </si>
  <si>
    <t>2nd largest Sale</t>
  </si>
  <si>
    <t>Fries</t>
  </si>
  <si>
    <t>3rd largest sale</t>
  </si>
  <si>
    <t xml:space="preserve">Pizza </t>
  </si>
  <si>
    <t xml:space="preserve"> Min Formula</t>
  </si>
  <si>
    <t>Min Sale</t>
  </si>
  <si>
    <t>Pakoda</t>
  </si>
  <si>
    <t>Vada Pav</t>
  </si>
  <si>
    <t xml:space="preserve"> Small Formula</t>
  </si>
  <si>
    <t>1st Smallest Sale</t>
  </si>
  <si>
    <t>Apple</t>
  </si>
  <si>
    <t>2nd Smallest Sale</t>
  </si>
  <si>
    <t>Banana</t>
  </si>
  <si>
    <t>3rd Smallest sale</t>
  </si>
  <si>
    <t>Mango</t>
  </si>
  <si>
    <t xml:space="preserve"> Rank Formula</t>
  </si>
  <si>
    <t>Stu_Name</t>
  </si>
  <si>
    <t>Phy</t>
  </si>
  <si>
    <t>Che</t>
  </si>
  <si>
    <t>Mat</t>
  </si>
  <si>
    <t>Total Marks</t>
  </si>
  <si>
    <t>Rank</t>
  </si>
  <si>
    <t>Aryan</t>
  </si>
  <si>
    <t>Nisha</t>
  </si>
  <si>
    <t>Rohan</t>
  </si>
  <si>
    <t>Payal</t>
  </si>
  <si>
    <t>Mital</t>
  </si>
  <si>
    <t>Isha</t>
  </si>
  <si>
    <t>Karan</t>
  </si>
  <si>
    <t>Tanya</t>
  </si>
  <si>
    <t xml:space="preserve"> Count Formula</t>
  </si>
  <si>
    <t>A</t>
  </si>
  <si>
    <t xml:space="preserve"> Counta Formula</t>
  </si>
  <si>
    <t>Values</t>
  </si>
  <si>
    <t>xyz</t>
  </si>
  <si>
    <t xml:space="preserve"> Countblank Formula</t>
  </si>
  <si>
    <t>Countblank</t>
  </si>
  <si>
    <t xml:space="preserve"> Countif Formula</t>
  </si>
  <si>
    <t>Total Records</t>
  </si>
  <si>
    <t>Cricket Bat</t>
  </si>
  <si>
    <t>Table mat</t>
  </si>
  <si>
    <t>Yoga Mat</t>
  </si>
  <si>
    <t>Gym Gloves</t>
  </si>
  <si>
    <t>Table Mat</t>
  </si>
  <si>
    <t>Tennis Racket</t>
  </si>
  <si>
    <t>east</t>
  </si>
  <si>
    <t>Skipping Rope</t>
  </si>
  <si>
    <t>Punch Bag</t>
  </si>
  <si>
    <t>Hockey Stick</t>
  </si>
  <si>
    <t>Goal Post</t>
  </si>
  <si>
    <t>Air Cooler</t>
  </si>
  <si>
    <t>Hand Blender</t>
  </si>
  <si>
    <t>LED TV</t>
  </si>
  <si>
    <t>Rice Cooker</t>
  </si>
  <si>
    <t>Electric Fan</t>
  </si>
  <si>
    <t>Induction Stove</t>
  </si>
  <si>
    <t>Mixer Grinder</t>
  </si>
  <si>
    <t>Steam Iron</t>
  </si>
  <si>
    <t xml:space="preserve"> Countifs Formula</t>
  </si>
  <si>
    <t>Pen</t>
  </si>
  <si>
    <t>pen</t>
  </si>
  <si>
    <t>Eraser</t>
  </si>
  <si>
    <t>Scale</t>
  </si>
  <si>
    <t>Sharpener</t>
  </si>
  <si>
    <t>Pencil</t>
  </si>
  <si>
    <t>Ruler</t>
  </si>
  <si>
    <t>Drawing Book</t>
  </si>
  <si>
    <t xml:space="preserve"> Subtotal Formula</t>
  </si>
  <si>
    <t>Total Qty</t>
  </si>
  <si>
    <t>Total Amt.</t>
  </si>
  <si>
    <t>Total Rec.</t>
  </si>
  <si>
    <t xml:space="preserve"> Percentage Calculation</t>
  </si>
  <si>
    <t>%</t>
  </si>
  <si>
    <t>Max. Marks</t>
  </si>
  <si>
    <t>Marks Obt.</t>
  </si>
  <si>
    <t>Emp_Name</t>
  </si>
  <si>
    <t>Salary</t>
  </si>
  <si>
    <t>Donate 5%</t>
  </si>
  <si>
    <t>10% Increment</t>
  </si>
  <si>
    <t>Aditya</t>
  </si>
  <si>
    <t>Bhavna</t>
  </si>
  <si>
    <t>Chirag</t>
  </si>
  <si>
    <t>Deepika</t>
  </si>
  <si>
    <t>Eshan</t>
  </si>
  <si>
    <t>Farah</t>
  </si>
  <si>
    <t>Gaurav</t>
  </si>
  <si>
    <t>Ravi</t>
  </si>
  <si>
    <t xml:space="preserve"> Percentof Formula</t>
  </si>
  <si>
    <t>Notebooks</t>
  </si>
  <si>
    <t>Pencils</t>
  </si>
  <si>
    <t>Geometry Boxes</t>
  </si>
  <si>
    <t>Whiteboard Markers</t>
  </si>
  <si>
    <t>Chalk Boxes</t>
  </si>
  <si>
    <t>School Bags</t>
  </si>
  <si>
    <t>Water Bottles</t>
  </si>
  <si>
    <t>Drawing Sheets Pack</t>
  </si>
  <si>
    <t>ID Card Holders</t>
  </si>
  <si>
    <t xml:space="preserve"> Rand Formula</t>
  </si>
  <si>
    <t>Football</t>
  </si>
  <si>
    <t>Badminton Racket</t>
  </si>
  <si>
    <t>Basketball</t>
  </si>
  <si>
    <t>Tennis Ball</t>
  </si>
  <si>
    <t>Table Tennis</t>
  </si>
  <si>
    <t>Volleyball</t>
  </si>
  <si>
    <t xml:space="preserve"> Randbetween Formula</t>
  </si>
  <si>
    <t xml:space="preserve"> Abs Formula</t>
  </si>
  <si>
    <t>Debit and credit Amount</t>
  </si>
  <si>
    <t xml:space="preserve"> Convert Formula to Value</t>
  </si>
  <si>
    <t xml:space="preserve"> Text Formula</t>
  </si>
  <si>
    <t>Credit Card No.</t>
  </si>
  <si>
    <t>Dates</t>
  </si>
  <si>
    <t xml:space="preserve"> Upper Formula</t>
  </si>
  <si>
    <t>Bread</t>
  </si>
  <si>
    <t>Juice</t>
  </si>
  <si>
    <t>APPLE</t>
  </si>
  <si>
    <t>Cake</t>
  </si>
  <si>
    <t>Rice</t>
  </si>
  <si>
    <t>JAM</t>
  </si>
  <si>
    <t>Nuts</t>
  </si>
  <si>
    <t>Milk</t>
  </si>
  <si>
    <t xml:space="preserve"> Lower Formula</t>
  </si>
  <si>
    <t>MILK</t>
  </si>
  <si>
    <t>Butter</t>
  </si>
  <si>
    <t>Cheese</t>
  </si>
  <si>
    <t>CURD</t>
  </si>
  <si>
    <t>Ghee</t>
  </si>
  <si>
    <t>Cream</t>
  </si>
  <si>
    <t>Paneer</t>
  </si>
  <si>
    <t>LASSI</t>
  </si>
  <si>
    <t>Buttermilk</t>
  </si>
  <si>
    <t xml:space="preserve"> Proper Formula</t>
  </si>
  <si>
    <t>Wallet</t>
  </si>
  <si>
    <t>Sunglasses</t>
  </si>
  <si>
    <t>Watch</t>
  </si>
  <si>
    <t>Belt</t>
  </si>
  <si>
    <t>SHOES</t>
  </si>
  <si>
    <t>TIE</t>
  </si>
  <si>
    <t>Backpack</t>
  </si>
  <si>
    <t>CAP</t>
  </si>
  <si>
    <t>Perfume</t>
  </si>
  <si>
    <t xml:space="preserve"> Concatenate Formula + Change Case</t>
  </si>
  <si>
    <t>First Name</t>
  </si>
  <si>
    <t>Middle Name</t>
  </si>
  <si>
    <t>Last Name</t>
  </si>
  <si>
    <t>Full Name</t>
  </si>
  <si>
    <t>raj</t>
  </si>
  <si>
    <t>kumar</t>
  </si>
  <si>
    <t>singh</t>
  </si>
  <si>
    <t>Monu</t>
  </si>
  <si>
    <t>Sharma</t>
  </si>
  <si>
    <t>JK</t>
  </si>
  <si>
    <t>rakesh</t>
  </si>
  <si>
    <t>Raju</t>
  </si>
  <si>
    <t>Singh</t>
  </si>
  <si>
    <t>Tewatia</t>
  </si>
  <si>
    <t>amit</t>
  </si>
  <si>
    <t>jain</t>
  </si>
  <si>
    <t xml:space="preserve"> &amp; Formula </t>
  </si>
  <si>
    <t xml:space="preserve"> Textjoin Formula </t>
  </si>
  <si>
    <t xml:space="preserve"> Left Formula </t>
  </si>
  <si>
    <t>Add.</t>
  </si>
  <si>
    <t>Pincode</t>
  </si>
  <si>
    <t>110062,delhi,9999999999</t>
  </si>
  <si>
    <t>121102,palwal,4444444444</t>
  </si>
  <si>
    <t>140003,punjab,3333333333</t>
  </si>
  <si>
    <t>121102,palwal,4456555555</t>
  </si>
  <si>
    <t>delhi,110062,4444444444</t>
  </si>
  <si>
    <t>faridabad,130001,3333333333</t>
  </si>
  <si>
    <t>palwal,121102,2222222222</t>
  </si>
  <si>
    <t xml:space="preserve"> Right Formula </t>
  </si>
  <si>
    <t>Phone</t>
  </si>
  <si>
    <t xml:space="preserve"> Mid Formula </t>
  </si>
  <si>
    <t>IFSC Code</t>
  </si>
  <si>
    <t>IBXYZC2343454A</t>
  </si>
  <si>
    <t>IBXYZC2343455A</t>
  </si>
  <si>
    <t>IBXYZC2343456A</t>
  </si>
  <si>
    <t>IBXYZC2343457A</t>
  </si>
  <si>
    <t xml:space="preserve"> Flash Fill Magic</t>
  </si>
  <si>
    <t>AI</t>
  </si>
  <si>
    <t>data 2</t>
  </si>
  <si>
    <t>Empcode</t>
  </si>
  <si>
    <t>Dept</t>
  </si>
  <si>
    <t>Branch</t>
  </si>
  <si>
    <t>Hiredate</t>
  </si>
  <si>
    <t>od</t>
  </si>
  <si>
    <t>Suman</t>
  </si>
  <si>
    <t>Shinde</t>
  </si>
  <si>
    <t>Sales</t>
  </si>
  <si>
    <t>Cuttack</t>
  </si>
  <si>
    <t>Andre</t>
  </si>
  <si>
    <t>Fernendes</t>
  </si>
  <si>
    <t>Mktg</t>
  </si>
  <si>
    <t>Darjeeling</t>
  </si>
  <si>
    <t>Meera</t>
  </si>
  <si>
    <t>Lalwani</t>
  </si>
  <si>
    <t>Finance</t>
  </si>
  <si>
    <t>Calcutta</t>
  </si>
  <si>
    <t>aalok</t>
  </si>
  <si>
    <t>Trivedi</t>
  </si>
  <si>
    <t>Admin</t>
  </si>
  <si>
    <t>Satinder Kaur</t>
  </si>
  <si>
    <t>Sasan</t>
  </si>
  <si>
    <t>Patna</t>
  </si>
  <si>
    <t>Bharat</t>
  </si>
  <si>
    <t>Shetty</t>
  </si>
  <si>
    <t>City</t>
  </si>
  <si>
    <t>Aalam</t>
  </si>
  <si>
    <t>Qureshi</t>
  </si>
  <si>
    <t>Personnel</t>
  </si>
  <si>
    <t>Delhi</t>
  </si>
  <si>
    <t>Kirtikar</t>
  </si>
  <si>
    <t>Sardesai</t>
  </si>
  <si>
    <t>Palwal</t>
  </si>
  <si>
    <t>Pooja</t>
  </si>
  <si>
    <t>Gokhale</t>
  </si>
  <si>
    <t>R&amp;D</t>
  </si>
  <si>
    <t>Punjab</t>
  </si>
  <si>
    <t>Shaheen</t>
  </si>
  <si>
    <t>Khan</t>
  </si>
  <si>
    <t>Vishal</t>
  </si>
  <si>
    <t>Virsinghani</t>
  </si>
  <si>
    <t>CCD</t>
  </si>
  <si>
    <t>Gangtok</t>
  </si>
  <si>
    <t>Lalita</t>
  </si>
  <si>
    <t>Rao</t>
  </si>
  <si>
    <t>Guwahati</t>
  </si>
  <si>
    <t>Timsi</t>
  </si>
  <si>
    <t>Desai</t>
  </si>
  <si>
    <t>Reeta</t>
  </si>
  <si>
    <t>Naik</t>
  </si>
  <si>
    <t>Nita</t>
  </si>
  <si>
    <t>Pandhya</t>
  </si>
  <si>
    <t>Sonu</t>
  </si>
  <si>
    <t>Suraj</t>
  </si>
  <si>
    <t>Saksena</t>
  </si>
  <si>
    <t>DK</t>
  </si>
  <si>
    <t>Kalpana</t>
  </si>
  <si>
    <t>Shirishkar</t>
  </si>
  <si>
    <t>Ram</t>
  </si>
  <si>
    <t>Pinky</t>
  </si>
  <si>
    <t>Robert</t>
  </si>
  <si>
    <t>Niki</t>
  </si>
  <si>
    <t>Digaria</t>
  </si>
  <si>
    <t>Singhani</t>
  </si>
  <si>
    <t>Raja</t>
  </si>
  <si>
    <t>Raymondekar</t>
  </si>
  <si>
    <t>north</t>
  </si>
  <si>
    <t>Ferozepur</t>
  </si>
  <si>
    <t>KEYBOARD</t>
  </si>
  <si>
    <t>Beena</t>
  </si>
  <si>
    <t>Mavadia</t>
  </si>
  <si>
    <t>Seema</t>
  </si>
  <si>
    <t>Ranganathan</t>
  </si>
  <si>
    <t>Kanpur</t>
  </si>
  <si>
    <t>Julie</t>
  </si>
  <si>
    <t>D'Souza</t>
  </si>
  <si>
    <t>Mathura</t>
  </si>
  <si>
    <t>SCANNER</t>
  </si>
  <si>
    <t>Neena</t>
  </si>
  <si>
    <t>Mukherjee</t>
  </si>
  <si>
    <t>Agra</t>
  </si>
  <si>
    <t>Pankaj</t>
  </si>
  <si>
    <t>Sutradhar</t>
  </si>
  <si>
    <t>Ambala</t>
  </si>
  <si>
    <t>Shilpa</t>
  </si>
  <si>
    <t>Lele</t>
  </si>
  <si>
    <t>Jammu</t>
  </si>
  <si>
    <t>K. Sita</t>
  </si>
  <si>
    <t>Narayanan</t>
  </si>
  <si>
    <t>Priya</t>
  </si>
  <si>
    <t>Shirodkar</t>
  </si>
  <si>
    <t>Jaipur</t>
  </si>
  <si>
    <t>Parvati</t>
  </si>
  <si>
    <t>Khanna</t>
  </si>
  <si>
    <t>Farhan</t>
  </si>
  <si>
    <t>Sadiq</t>
  </si>
  <si>
    <t>Hajra</t>
  </si>
  <si>
    <t>Hoonjan</t>
  </si>
  <si>
    <t>Giriraj</t>
  </si>
  <si>
    <t>Gupta</t>
  </si>
  <si>
    <t>Tapan</t>
  </si>
  <si>
    <t>Ghoshal</t>
  </si>
  <si>
    <t>Zarina</t>
  </si>
  <si>
    <t>Vora</t>
  </si>
  <si>
    <t>Lucknow</t>
  </si>
  <si>
    <t>Chitra</t>
  </si>
  <si>
    <t>Pednekar</t>
  </si>
  <si>
    <t>Aligarh</t>
  </si>
  <si>
    <t>Sheetal</t>
  </si>
  <si>
    <t>Dodhia</t>
  </si>
  <si>
    <t>delhi</t>
  </si>
  <si>
    <t>Kinnari</t>
  </si>
  <si>
    <t>Mehta</t>
  </si>
  <si>
    <t>Jeena</t>
  </si>
  <si>
    <t>Baig</t>
  </si>
  <si>
    <t>Vicky</t>
  </si>
  <si>
    <t>Joshi</t>
  </si>
  <si>
    <t>Mario</t>
  </si>
  <si>
    <t>Fernandes</t>
  </si>
  <si>
    <t>Heena</t>
  </si>
  <si>
    <t>Godbole</t>
  </si>
  <si>
    <t>Maya</t>
  </si>
  <si>
    <t>Panchal</t>
  </si>
  <si>
    <t>Anuradha</t>
  </si>
  <si>
    <t>Zha</t>
  </si>
  <si>
    <t>Asha</t>
  </si>
  <si>
    <t>Waheda</t>
  </si>
  <si>
    <t>Sheikh</t>
  </si>
  <si>
    <t>Parul</t>
  </si>
  <si>
    <t>Shah</t>
  </si>
  <si>
    <t>Uday</t>
  </si>
  <si>
    <t>Mandakini</t>
  </si>
  <si>
    <t>Pravin</t>
  </si>
  <si>
    <t>Laveena</t>
  </si>
  <si>
    <t>Shenoy</t>
  </si>
  <si>
    <t>Drishti</t>
  </si>
  <si>
    <t>Sagar</t>
  </si>
  <si>
    <t>Bidkar</t>
  </si>
  <si>
    <t>Dayanand</t>
  </si>
  <si>
    <t>Gandhi</t>
  </si>
  <si>
    <t>Kunal</t>
  </si>
  <si>
    <t>Ruby</t>
  </si>
  <si>
    <t>Joseph</t>
  </si>
  <si>
    <t>Sonia</t>
  </si>
  <si>
    <t>Tejal</t>
  </si>
  <si>
    <t>Patel</t>
  </si>
  <si>
    <t>Priyanka</t>
  </si>
  <si>
    <t>Chetan</t>
  </si>
  <si>
    <t>Dalvi</t>
  </si>
  <si>
    <t>Kuldeep</t>
  </si>
  <si>
    <t>south</t>
  </si>
  <si>
    <t>Hydrabad</t>
  </si>
  <si>
    <t>Director</t>
  </si>
  <si>
    <t>cochin</t>
  </si>
  <si>
    <t>Jasbinder</t>
  </si>
  <si>
    <t>Khurana</t>
  </si>
  <si>
    <t>Manglore</t>
  </si>
  <si>
    <t>Rishi</t>
  </si>
  <si>
    <t>Malik</t>
  </si>
  <si>
    <t>Banglore</t>
  </si>
  <si>
    <t>Ankur</t>
  </si>
  <si>
    <t>Arun</t>
  </si>
  <si>
    <t>Parikh</t>
  </si>
  <si>
    <t>Mysore</t>
  </si>
  <si>
    <t>Richa</t>
  </si>
  <si>
    <t>Raje</t>
  </si>
  <si>
    <t>Rakesh</t>
  </si>
  <si>
    <t>Kumar</t>
  </si>
  <si>
    <t>Katti</t>
  </si>
  <si>
    <t>Surti</t>
  </si>
  <si>
    <t>chennai</t>
  </si>
  <si>
    <t>Disha</t>
  </si>
  <si>
    <t>Parmar</t>
  </si>
  <si>
    <t>Geeta</t>
  </si>
  <si>
    <t>Darekar</t>
  </si>
  <si>
    <t>Trivanadrum</t>
  </si>
  <si>
    <t>Veena</t>
  </si>
  <si>
    <t>Patil</t>
  </si>
  <si>
    <t>Yamini</t>
  </si>
  <si>
    <t>Tara</t>
  </si>
  <si>
    <t>Phule</t>
  </si>
  <si>
    <t>Jignesh</t>
  </si>
  <si>
    <t>Tripathi</t>
  </si>
  <si>
    <t>Harsha</t>
  </si>
  <si>
    <t>Kabir</t>
  </si>
  <si>
    <t>Pushpa</t>
  </si>
  <si>
    <t>Raut</t>
  </si>
  <si>
    <t>Rupesh</t>
  </si>
  <si>
    <t>Sawant</t>
  </si>
  <si>
    <t>Deepak</t>
  </si>
  <si>
    <t>Jain</t>
  </si>
  <si>
    <t>west</t>
  </si>
  <si>
    <t>Pune</t>
  </si>
  <si>
    <t>Sujay</t>
  </si>
  <si>
    <t>Madhrani</t>
  </si>
  <si>
    <t>Aakash</t>
  </si>
  <si>
    <t>Dixit</t>
  </si>
  <si>
    <t>Nasik</t>
  </si>
  <si>
    <t>Suchita</t>
  </si>
  <si>
    <t>Shazia</t>
  </si>
  <si>
    <t>Nimkar</t>
  </si>
  <si>
    <t>Mala</t>
  </si>
  <si>
    <t>Bhaduri</t>
  </si>
  <si>
    <t>Mumbai</t>
  </si>
  <si>
    <t>Khetan</t>
  </si>
  <si>
    <t>Surat</t>
  </si>
  <si>
    <t>Piyush</t>
  </si>
  <si>
    <t>Neha</t>
  </si>
  <si>
    <t>Baroda</t>
  </si>
  <si>
    <t>Ruheal</t>
  </si>
  <si>
    <t>Mehul</t>
  </si>
  <si>
    <t>Sheth</t>
  </si>
  <si>
    <t>Nagpur</t>
  </si>
  <si>
    <t>Kajal</t>
  </si>
  <si>
    <t>Joglekar</t>
  </si>
  <si>
    <t>Surendra</t>
  </si>
  <si>
    <t>Godse</t>
  </si>
  <si>
    <t>Panji</t>
  </si>
  <si>
    <t>Nayeem</t>
  </si>
  <si>
    <t>Deep</t>
  </si>
  <si>
    <t>Chhaya</t>
  </si>
  <si>
    <t>Vinit</t>
  </si>
  <si>
    <t>Shrivastava</t>
  </si>
  <si>
    <t>Radhika</t>
  </si>
  <si>
    <t>Kulkarni</t>
  </si>
  <si>
    <t>Indu</t>
  </si>
  <si>
    <t xml:space="preserve"> Textbefore Formula</t>
  </si>
  <si>
    <t xml:space="preserve"> Textafter Formula</t>
  </si>
  <si>
    <t xml:space="preserve"> Trim Formula</t>
  </si>
  <si>
    <t>raj kumar singh</t>
  </si>
  <si>
    <t>Sonu Sharma</t>
  </si>
  <si>
    <t>DK rakesh kumar</t>
  </si>
  <si>
    <t>Ram Singh Tewatia</t>
  </si>
  <si>
    <t xml:space="preserve">raj rathore  </t>
  </si>
  <si>
    <t xml:space="preserve">Monu Sharma            </t>
  </si>
  <si>
    <t>rakesh kumar</t>
  </si>
  <si>
    <t xml:space="preserve"> Transpose Formula</t>
  </si>
  <si>
    <t>region</t>
  </si>
  <si>
    <t xml:space="preserve"> Textsplit Formula</t>
  </si>
  <si>
    <t>palwal</t>
  </si>
  <si>
    <t>Name</t>
  </si>
  <si>
    <t>Raj kumar/140003/punjab/3333333333</t>
  </si>
  <si>
    <t>Sonu/121102/palwal/4456555555</t>
  </si>
  <si>
    <t xml:space="preserve"> Now &amp; Today</t>
  </si>
  <si>
    <t>Now</t>
  </si>
  <si>
    <t>Today</t>
  </si>
  <si>
    <t>Patient Name</t>
  </si>
  <si>
    <t>Entry  Time</t>
  </si>
  <si>
    <t>Entry Date &amp; Time</t>
  </si>
  <si>
    <t>a</t>
  </si>
  <si>
    <t xml:space="preserve"> Date Formula</t>
  </si>
  <si>
    <t>Day</t>
  </si>
  <si>
    <t>Month</t>
  </si>
  <si>
    <t>Year</t>
  </si>
  <si>
    <t xml:space="preserve"> Day, Month &amp; Year Formula</t>
  </si>
  <si>
    <t xml:space="preserve"> Days Formula</t>
  </si>
  <si>
    <t>Task Start Date</t>
  </si>
  <si>
    <t>Task End Date</t>
  </si>
  <si>
    <t>Total Days</t>
  </si>
  <si>
    <t xml:space="preserve"> Edate Formula</t>
  </si>
  <si>
    <t>Policy Issue Date</t>
  </si>
  <si>
    <t>Same date for previous or next n months</t>
  </si>
  <si>
    <t>This Formula is missed by mistake in video recording…!</t>
  </si>
  <si>
    <t>Very Sorry for that my dear friends !</t>
  </si>
  <si>
    <t xml:space="preserve"> Eomonth Formula</t>
  </si>
  <si>
    <t>Month Last Date</t>
  </si>
  <si>
    <t xml:space="preserve"> Datedif Formula</t>
  </si>
  <si>
    <t>D.O.B</t>
  </si>
  <si>
    <t>Today Date</t>
  </si>
  <si>
    <t>year</t>
  </si>
  <si>
    <t>month</t>
  </si>
  <si>
    <t>day</t>
  </si>
  <si>
    <t xml:space="preserve"> Workday Formula</t>
  </si>
  <si>
    <t>Working Day</t>
  </si>
  <si>
    <t>Holidays list 2024</t>
  </si>
  <si>
    <t xml:space="preserve"> Workday.intl Formula</t>
  </si>
  <si>
    <t>workday</t>
  </si>
  <si>
    <t xml:space="preserve"> Networkdays Formula</t>
  </si>
  <si>
    <t>End Date</t>
  </si>
  <si>
    <t>Tast End Date</t>
  </si>
  <si>
    <t xml:space="preserve"> Networkdays.intl Formula</t>
  </si>
  <si>
    <t xml:space="preserve"> IF Formula</t>
  </si>
  <si>
    <t>Student Name</t>
  </si>
  <si>
    <t xml:space="preserve">Test Marks </t>
  </si>
  <si>
    <t>Result</t>
  </si>
  <si>
    <t>Add. 5 Grace Marks if Stu Fail</t>
  </si>
  <si>
    <t>Arjun Verma</t>
  </si>
  <si>
    <t>Ritesh S.</t>
  </si>
  <si>
    <t>Naveen Yadav</t>
  </si>
  <si>
    <t>Tarun Joshi</t>
  </si>
  <si>
    <t>Kunal Mehta</t>
  </si>
  <si>
    <t>Failed Stu.</t>
  </si>
  <si>
    <t>Result ( Using Emoji )</t>
  </si>
  <si>
    <t>Gender</t>
  </si>
  <si>
    <t>Add Mr / Mis in Names</t>
  </si>
  <si>
    <t>Raj Kumar</t>
  </si>
  <si>
    <t>Male</t>
  </si>
  <si>
    <t>Female</t>
  </si>
  <si>
    <t>Anil Kumar</t>
  </si>
  <si>
    <t>Reena</t>
  </si>
  <si>
    <t xml:space="preserve"> IF + And Formula</t>
  </si>
  <si>
    <t>Yash Sharma</t>
  </si>
  <si>
    <t>Aman Gupta</t>
  </si>
  <si>
    <t>Vivek Chauhan</t>
  </si>
  <si>
    <t>Nikhil Salvi</t>
  </si>
  <si>
    <t>Harsh Tiwari</t>
  </si>
  <si>
    <t>Agar phy,che and math me marks 40 ya 40 se jyada hain to result PASS dikhao nhi to fir FAIL dikhao…</t>
  </si>
  <si>
    <t>Salesman Name</t>
  </si>
  <si>
    <t>Department</t>
  </si>
  <si>
    <t>Sale</t>
  </si>
  <si>
    <t>Bonus</t>
  </si>
  <si>
    <t>IT</t>
  </si>
  <si>
    <t>Mohit</t>
  </si>
  <si>
    <t>Markeeting</t>
  </si>
  <si>
    <t>HR</t>
  </si>
  <si>
    <t>IT Department se jis salesman ne 20000 se jyada sale ki hai usko 1000 bonus dena hai…</t>
  </si>
  <si>
    <t xml:space="preserve"> IF + OR Formula</t>
  </si>
  <si>
    <t>Progress</t>
  </si>
  <si>
    <t>Status</t>
  </si>
  <si>
    <t>Karan Malhotra</t>
  </si>
  <si>
    <t>delivered</t>
  </si>
  <si>
    <t>Abhishek Rawat</t>
  </si>
  <si>
    <t>cancelled</t>
  </si>
  <si>
    <t>Saurabh Patel</t>
  </si>
  <si>
    <t>in Transit</t>
  </si>
  <si>
    <t>Tushar Bansal</t>
  </si>
  <si>
    <t>Laxman Sinha</t>
  </si>
  <si>
    <t>Agar Progress Delivered ya cancelled hai to status CLOSED dikhao nhi to fir OPEN dikhao…</t>
  </si>
  <si>
    <t>Marks</t>
  </si>
  <si>
    <t>Arjun Mehta</t>
  </si>
  <si>
    <t>Rohan Desai</t>
  </si>
  <si>
    <t>Manish Kapoor</t>
  </si>
  <si>
    <t>Tarun Yadav</t>
  </si>
  <si>
    <t>Kunal Saxena</t>
  </si>
  <si>
    <t>Varun Batra</t>
  </si>
  <si>
    <t>Jin Students ke marks 40% se kam hai ya wo absent the to FAIL dikhao nhi to PASS</t>
  </si>
  <si>
    <t xml:space="preserve"> IFS Formula</t>
  </si>
  <si>
    <t>Grade</t>
  </si>
  <si>
    <t>Arvind Patel</t>
  </si>
  <si>
    <t>Sagar Malhotra</t>
  </si>
  <si>
    <t>Neeraj Sharma</t>
  </si>
  <si>
    <t>Jatin Bansal</t>
  </si>
  <si>
    <t>Rohit Sharma</t>
  </si>
  <si>
    <t>Grade Scale :</t>
  </si>
  <si>
    <t>Equal to or grater than 90% = A</t>
  </si>
  <si>
    <t>Equal to or grater than 70% = B</t>
  </si>
  <si>
    <t>Equal to or grater than 50% = C</t>
  </si>
  <si>
    <t>Less than 50% = D</t>
  </si>
  <si>
    <t>Driver Name</t>
  </si>
  <si>
    <t>Speed</t>
  </si>
  <si>
    <t>Amit Chauhan</t>
  </si>
  <si>
    <t>Suresh Yadav</t>
  </si>
  <si>
    <t>Vinod Mehra</t>
  </si>
  <si>
    <t>Rakesh Verma</t>
  </si>
  <si>
    <t>Lalit Sharma</t>
  </si>
  <si>
    <t>speed &gt;=80 = fast</t>
  </si>
  <si>
    <t>speed &gt;=50 = normal</t>
  </si>
  <si>
    <t>speed &lt;50 slow</t>
  </si>
  <si>
    <t xml:space="preserve"> Vlookup Formula</t>
  </si>
  <si>
    <t>Emp ID</t>
  </si>
  <si>
    <t>Joining Date</t>
  </si>
  <si>
    <t>Amit jain</t>
  </si>
  <si>
    <t>ProductID</t>
  </si>
  <si>
    <t>HSN Code</t>
  </si>
  <si>
    <t>Qty Sold</t>
  </si>
  <si>
    <t>Bedsheet</t>
  </si>
  <si>
    <t>P001</t>
  </si>
  <si>
    <t>P003</t>
  </si>
  <si>
    <t>Pillow</t>
  </si>
  <si>
    <t>P004</t>
  </si>
  <si>
    <t>Blanket</t>
  </si>
  <si>
    <t>P002</t>
  </si>
  <si>
    <t>Alarm Clock</t>
  </si>
  <si>
    <t>Mattress</t>
  </si>
  <si>
    <t>P005</t>
  </si>
  <si>
    <t>Table Lamp</t>
  </si>
  <si>
    <t>P006</t>
  </si>
  <si>
    <t xml:space="preserve"> Hlookup Formula</t>
  </si>
  <si>
    <t>Sofa</t>
  </si>
  <si>
    <t>Dining Table</t>
  </si>
  <si>
    <t>Refrigerator</t>
  </si>
  <si>
    <t>Washing Machine</t>
  </si>
  <si>
    <t>Microwave Oven</t>
  </si>
  <si>
    <t>Ceiling Fan</t>
  </si>
  <si>
    <t xml:space="preserve"> Match Formula</t>
  </si>
  <si>
    <t>Position / Index</t>
  </si>
  <si>
    <t>Arjun Sinha</t>
  </si>
  <si>
    <t>Nitin Verma</t>
  </si>
  <si>
    <t>Saurabh Tyagi</t>
  </si>
  <si>
    <t>Tarun Bhatia</t>
  </si>
  <si>
    <t>Kunal Joshi</t>
  </si>
  <si>
    <t>Vivek Mali</t>
  </si>
  <si>
    <t>name</t>
  </si>
  <si>
    <t xml:space="preserve"> Index Formula</t>
  </si>
  <si>
    <t xml:space="preserve"> Index + Match Formula</t>
  </si>
  <si>
    <t>CPU</t>
  </si>
  <si>
    <t xml:space="preserve">RAM </t>
  </si>
  <si>
    <t>SSD Drive</t>
  </si>
  <si>
    <t>Graphics Card</t>
  </si>
  <si>
    <t>Motherboard</t>
  </si>
  <si>
    <t>Power Supply</t>
  </si>
  <si>
    <t xml:space="preserve"> Xlookup Formula</t>
  </si>
  <si>
    <t>RAM Stick</t>
  </si>
  <si>
    <t>Ring Light</t>
  </si>
  <si>
    <t>Scanner</t>
  </si>
  <si>
    <t>Priner</t>
  </si>
  <si>
    <t>Laptop</t>
  </si>
  <si>
    <t>Desktop</t>
  </si>
  <si>
    <t>Product</t>
  </si>
  <si>
    <t>Wattage</t>
  </si>
  <si>
    <t>Life Hours</t>
  </si>
  <si>
    <t>Brand</t>
  </si>
  <si>
    <t>Unit Cost</t>
  </si>
  <si>
    <t>Box Quantity</t>
  </si>
  <si>
    <t>Boxes In Stock</t>
  </si>
  <si>
    <t>Value Of Stock</t>
  </si>
  <si>
    <t>Count the number of products of a particular Brand which have a Life Hours rating.</t>
  </si>
  <si>
    <t>Bulb</t>
  </si>
  <si>
    <t>Horizon</t>
  </si>
  <si>
    <t>Neon</t>
  </si>
  <si>
    <r>
      <t xml:space="preserve">These two cells are the </t>
    </r>
    <r>
      <rPr>
        <b/>
        <i/>
        <sz val="10"/>
        <rFont val="Arial"/>
        <family val="2"/>
      </rPr>
      <t>Criteria</t>
    </r>
    <r>
      <rPr>
        <i/>
        <sz val="10"/>
        <rFont val="Arial"/>
        <family val="2"/>
      </rPr>
      <t xml:space="preserve"> range.</t>
    </r>
  </si>
  <si>
    <t>Spot</t>
  </si>
  <si>
    <t xml:space="preserve">Type the brand name : </t>
  </si>
  <si>
    <t>Other</t>
  </si>
  <si>
    <t>Sunbeam</t>
  </si>
  <si>
    <t>unknown</t>
  </si>
  <si>
    <t>LIST</t>
  </si>
  <si>
    <t>Product Id</t>
  </si>
  <si>
    <t>T-Shirt</t>
  </si>
  <si>
    <t>jeans</t>
  </si>
  <si>
    <t>P007</t>
  </si>
  <si>
    <t>P008</t>
  </si>
  <si>
    <t>P009</t>
  </si>
  <si>
    <t>Hoodie</t>
  </si>
  <si>
    <t>P010</t>
  </si>
  <si>
    <t>Order Date</t>
  </si>
  <si>
    <t>Start Date</t>
  </si>
  <si>
    <t>ID</t>
  </si>
  <si>
    <t>Last</t>
  </si>
  <si>
    <t>First</t>
  </si>
  <si>
    <t>E-mail</t>
  </si>
  <si>
    <t>880-10035</t>
  </si>
  <si>
    <t>Leff</t>
  </si>
  <si>
    <t>Julianne</t>
  </si>
  <si>
    <t>LeffJ@PBY.com</t>
  </si>
  <si>
    <t>253-559-4034</t>
  </si>
  <si>
    <t>880-10034</t>
  </si>
  <si>
    <t>Piano</t>
  </si>
  <si>
    <t>Milagros</t>
  </si>
  <si>
    <t>PianoM@PBY.com</t>
  </si>
  <si>
    <t>253-553-4381</t>
  </si>
  <si>
    <t>880-10033</t>
  </si>
  <si>
    <t>Coller</t>
  </si>
  <si>
    <t>Kathrine</t>
  </si>
  <si>
    <t>CollerK@PBY.com</t>
  </si>
  <si>
    <t>206-762-2195</t>
  </si>
  <si>
    <t>880-10032</t>
  </si>
  <si>
    <t>Stackpole</t>
  </si>
  <si>
    <t>Lonnie</t>
  </si>
  <si>
    <t>StackpoleL@PBY.com</t>
  </si>
  <si>
    <t>253-764-6538</t>
  </si>
  <si>
    <t>880-10031</t>
  </si>
  <si>
    <t>Lintz</t>
  </si>
  <si>
    <t>Kurt</t>
  </si>
  <si>
    <t>LintzK@PBY.com</t>
  </si>
  <si>
    <t>206-736-4510</t>
  </si>
  <si>
    <t>880-10030</t>
  </si>
  <si>
    <t>Dudgeon</t>
  </si>
  <si>
    <t>Penelope</t>
  </si>
  <si>
    <t>DudgeonP@PBY.com</t>
  </si>
  <si>
    <t>253-452-9723</t>
  </si>
  <si>
    <t>880-10029</t>
  </si>
  <si>
    <t>Hughs</t>
  </si>
  <si>
    <t>Pearlie</t>
  </si>
  <si>
    <t>HughsP@PBY.com</t>
  </si>
  <si>
    <t>253-719-7600</t>
  </si>
  <si>
    <t>NAME</t>
  </si>
  <si>
    <t>Country</t>
  </si>
  <si>
    <t>Quarter</t>
  </si>
  <si>
    <t>Smith</t>
  </si>
  <si>
    <t>UK</t>
  </si>
  <si>
    <t>Qtr 3</t>
  </si>
  <si>
    <t>Johnson</t>
  </si>
  <si>
    <t>USA</t>
  </si>
  <si>
    <t>Qtr 4</t>
  </si>
  <si>
    <t>Williams</t>
  </si>
  <si>
    <t>Qtr 2</t>
  </si>
  <si>
    <t>Jones</t>
  </si>
  <si>
    <t>Brown</t>
  </si>
  <si>
    <t>Qtr 1</t>
  </si>
  <si>
    <t>Priority</t>
  </si>
  <si>
    <t>Low</t>
  </si>
  <si>
    <t>High</t>
  </si>
  <si>
    <t>Normal</t>
  </si>
  <si>
    <t>SalesRep</t>
  </si>
  <si>
    <t>COUNT Function</t>
  </si>
  <si>
    <t>Chin</t>
  </si>
  <si>
    <t>COUNTA Function</t>
  </si>
  <si>
    <t>Gigi</t>
  </si>
  <si>
    <t>COUNTBLANK Function</t>
  </si>
  <si>
    <t>Dawn</t>
  </si>
  <si>
    <t>SUMIFS Function</t>
  </si>
  <si>
    <t>COUNTIFS Function</t>
  </si>
  <si>
    <t>SUMIF Function</t>
  </si>
  <si>
    <t>IF Function</t>
  </si>
  <si>
    <t>Row Labels</t>
  </si>
  <si>
    <t>Sum of Hours</t>
  </si>
  <si>
    <t>Executive</t>
  </si>
  <si>
    <t>Graphics</t>
  </si>
  <si>
    <t>Marketing</t>
  </si>
  <si>
    <t>Grand Total</t>
  </si>
  <si>
    <t>Sum of Wage</t>
  </si>
  <si>
    <t>State</t>
  </si>
  <si>
    <t>Hours</t>
  </si>
  <si>
    <t>Rate</t>
  </si>
  <si>
    <t>Wage</t>
  </si>
  <si>
    <t>Location</t>
  </si>
  <si>
    <t>Trained?</t>
  </si>
  <si>
    <t>Seat Pref.</t>
  </si>
  <si>
    <t>Abrams</t>
  </si>
  <si>
    <t>Andrea</t>
  </si>
  <si>
    <t>NY</t>
  </si>
  <si>
    <t>Mobile</t>
  </si>
  <si>
    <t>No</t>
  </si>
  <si>
    <t>Aisle</t>
  </si>
  <si>
    <t>Dugan</t>
  </si>
  <si>
    <t>Aparna</t>
  </si>
  <si>
    <t>PA</t>
  </si>
  <si>
    <t>Minzner</t>
  </si>
  <si>
    <t>Brian</t>
  </si>
  <si>
    <t>Office</t>
  </si>
  <si>
    <t>Yes</t>
  </si>
  <si>
    <t>Marone</t>
  </si>
  <si>
    <t>Brooke</t>
  </si>
  <si>
    <t>VT</t>
  </si>
  <si>
    <t>Window</t>
  </si>
  <si>
    <t>McIntyre</t>
  </si>
  <si>
    <t>Carl</t>
  </si>
  <si>
    <t>NJ</t>
  </si>
  <si>
    <t>Buckleitner</t>
  </si>
  <si>
    <t>Carly</t>
  </si>
  <si>
    <t>More</t>
  </si>
  <si>
    <t>Carol</t>
  </si>
  <si>
    <t>Birman</t>
  </si>
  <si>
    <t>Fitts</t>
  </si>
  <si>
    <t>Christine</t>
  </si>
  <si>
    <t>Jorgensen</t>
  </si>
  <si>
    <t>Daniel</t>
  </si>
  <si>
    <t>Coules</t>
  </si>
  <si>
    <t>Duke</t>
  </si>
  <si>
    <t>CA</t>
  </si>
  <si>
    <t>Stryker</t>
  </si>
  <si>
    <t>Fred</t>
  </si>
  <si>
    <t>CT</t>
  </si>
  <si>
    <t>Sipes</t>
  </si>
  <si>
    <t>James</t>
  </si>
  <si>
    <t>Picker</t>
  </si>
  <si>
    <t>Meacham</t>
  </si>
  <si>
    <t>Jeremy</t>
  </si>
  <si>
    <t>Petsch</t>
  </si>
  <si>
    <t>Rampulla</t>
  </si>
  <si>
    <t>Judith</t>
  </si>
  <si>
    <t>Novick</t>
  </si>
  <si>
    <t>Kenneth</t>
  </si>
  <si>
    <t>Leung</t>
  </si>
  <si>
    <t>Kerry</t>
  </si>
  <si>
    <t>Marciano</t>
  </si>
  <si>
    <t>Kim</t>
  </si>
  <si>
    <t>Deshpande</t>
  </si>
  <si>
    <t>Krishna</t>
  </si>
  <si>
    <t>Philips</t>
  </si>
  <si>
    <t>Laura</t>
  </si>
  <si>
    <t>IL</t>
  </si>
  <si>
    <t>Lowenfeld</t>
  </si>
  <si>
    <t>Leanne</t>
  </si>
  <si>
    <t>Colvin</t>
  </si>
  <si>
    <t>Lois</t>
  </si>
  <si>
    <t>Fitzpatrick</t>
  </si>
  <si>
    <t>Louan</t>
  </si>
  <si>
    <t>Rehal</t>
  </si>
  <si>
    <t>Marc</t>
  </si>
  <si>
    <t>Kreanow</t>
  </si>
  <si>
    <t>Marianne</t>
  </si>
  <si>
    <t>Boyle</t>
  </si>
  <si>
    <t>Meg</t>
  </si>
  <si>
    <t>McGowan</t>
  </si>
  <si>
    <t>Paul</t>
  </si>
  <si>
    <t>Wilson</t>
  </si>
  <si>
    <t>Liebowitz</t>
  </si>
  <si>
    <t>Rebecca</t>
  </si>
  <si>
    <t>Cohen</t>
  </si>
  <si>
    <t>Rosanne</t>
  </si>
  <si>
    <t>Zarish</t>
  </si>
  <si>
    <t>Shelli</t>
  </si>
  <si>
    <t>Richardson</t>
  </si>
  <si>
    <t>Warren</t>
  </si>
  <si>
    <t>DeTorres</t>
  </si>
  <si>
    <t>Wendy</t>
  </si>
  <si>
    <t>mkt</t>
  </si>
  <si>
    <t>Home Page</t>
  </si>
  <si>
    <t>ravi</t>
  </si>
  <si>
    <t>sharma</t>
  </si>
  <si>
    <t>Employee Information System</t>
  </si>
  <si>
    <t>Employee Code</t>
  </si>
  <si>
    <t>eco</t>
  </si>
  <si>
    <t>eng</t>
  </si>
  <si>
    <t>bk</t>
  </si>
  <si>
    <t>it</t>
  </si>
  <si>
    <t>ram</t>
  </si>
  <si>
    <t>kk</t>
  </si>
  <si>
    <t>pk</t>
  </si>
  <si>
    <t>Average of Salary</t>
  </si>
  <si>
    <t>Admin Total</t>
  </si>
  <si>
    <t>CCD Total</t>
  </si>
  <si>
    <t>Director Total</t>
  </si>
  <si>
    <t>Finance Total</t>
  </si>
  <si>
    <t>mkt Total</t>
  </si>
  <si>
    <t>Mktg Total</t>
  </si>
  <si>
    <t>Personnel Total</t>
  </si>
  <si>
    <t>R&amp;D Total</t>
  </si>
  <si>
    <t>Sales Total</t>
  </si>
  <si>
    <t>Average 'Salary'</t>
  </si>
  <si>
    <t>Average 'Salary' by 'Dept' and 'Branch'</t>
  </si>
  <si>
    <t xml:space="preserve">Mouns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</si>
</sst>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&quot;₹&quot;\ #,##0"/>
    <numFmt numFmtId="165" formatCode="&quot;$&quot;#,##0.00"/>
    <numFmt numFmtId="166" formatCode="&quot;£&quot;#,##0.00_);[Red]\(&quot;£&quot;#,##0.00\)"/>
    <numFmt numFmtId="167" formatCode="_ [$₹-4009]\ * #,##0.00_ ;_ [$₹-4009]\ * \-#,##0.00_ ;_ [$₹-4009]\ * &quot;-&quot;??_ ;_ @_ "/>
  </numFmts>
  <fonts count="25" x14ac:knownFonts="1">
    <font>
      <sz val="14"/>
      <color theme="1"/>
      <name val="Trebuchet MS"/>
      <family val="2"/>
      <scheme val="minor"/>
    </font>
    <font>
      <sz val="8"/>
      <name val="Trebuchet MS"/>
      <family val="2"/>
    </font>
    <font>
      <sz val="10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sz val="10"/>
      <color indexed="20"/>
      <name val="Arial"/>
      <family val="2"/>
    </font>
    <font>
      <sz val="10"/>
      <color indexed="1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1"/>
      <color indexed="9"/>
      <name val="Calibri"/>
      <family val="2"/>
    </font>
    <font>
      <sz val="14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rgb="FF9C0006"/>
      <name val="Trebuchet MS"/>
      <family val="2"/>
      <scheme val="minor"/>
    </font>
    <font>
      <u/>
      <sz val="14"/>
      <color theme="10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rgb="FFFF0000"/>
      <name val="Trebuchet MS"/>
      <family val="2"/>
      <scheme val="minor"/>
    </font>
    <font>
      <b/>
      <sz val="22"/>
      <color theme="1"/>
      <name val="Trebuchet MS"/>
      <family val="2"/>
      <scheme val="minor"/>
    </font>
    <font>
      <b/>
      <sz val="14"/>
      <color theme="1"/>
      <name val="Trebuchet MS"/>
      <family val="2"/>
      <scheme val="minor"/>
    </font>
    <font>
      <b/>
      <sz val="22"/>
      <color theme="2"/>
      <name val="Trebuchet MS"/>
      <family val="2"/>
      <scheme val="minor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sz val="11"/>
      <name val="Trebuchet MS"/>
      <family val="2"/>
      <scheme val="minor"/>
    </font>
    <font>
      <sz val="11"/>
      <color rgb="FF7030A0"/>
      <name val="Trebuchet MS"/>
      <family val="2"/>
      <scheme val="minor"/>
    </font>
    <font>
      <b/>
      <i/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17"/>
        <bgColor indexed="60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00B05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thin">
        <color indexed="64"/>
      </top>
      <bottom style="thin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14"/>
      </left>
      <right style="double">
        <color indexed="14"/>
      </right>
      <top style="double">
        <color indexed="14"/>
      </top>
      <bottom style="thin">
        <color indexed="64"/>
      </bottom>
      <diagonal/>
    </border>
    <border>
      <left style="double">
        <color indexed="14"/>
      </left>
      <right style="double">
        <color indexed="14"/>
      </right>
      <top style="thin">
        <color indexed="64"/>
      </top>
      <bottom style="double">
        <color indexed="14"/>
      </bottom>
      <diagonal/>
    </border>
    <border>
      <left style="double">
        <color indexed="17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double">
        <color indexed="17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double">
        <color indexed="1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B05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3" fillId="3" borderId="0" applyNumberFormat="0" applyBorder="0" applyAlignment="0" applyProtection="0"/>
    <xf numFmtId="43" fontId="11" fillId="0" borderId="0" applyFont="0" applyFill="0" applyBorder="0" applyAlignment="0" applyProtection="0"/>
    <xf numFmtId="0" fontId="2" fillId="0" borderId="0" applyNumberFormat="0" applyFont="0" applyBorder="0" applyAlignment="0" applyProtection="0"/>
    <xf numFmtId="0" fontId="14" fillId="0" borderId="0" applyNumberFormat="0" applyFill="0" applyBorder="0" applyAlignment="0" applyProtection="0"/>
    <xf numFmtId="0" fontId="2" fillId="0" borderId="0"/>
    <xf numFmtId="9" fontId="11" fillId="0" borderId="0" applyFont="0" applyFill="0" applyBorder="0" applyAlignment="0" applyProtection="0"/>
    <xf numFmtId="0" fontId="2" fillId="0" borderId="0" applyNumberFormat="0" applyFont="0" applyBorder="0" applyAlignment="0" applyProtection="0"/>
  </cellStyleXfs>
  <cellXfs count="154">
    <xf numFmtId="0" fontId="0" fillId="0" borderId="0" xfId="0"/>
    <xf numFmtId="0" fontId="17" fillId="4" borderId="1" xfId="0" applyFont="1" applyFill="1" applyBorder="1" applyAlignment="1">
      <alignment vertical="center"/>
    </xf>
    <xf numFmtId="0" fontId="18" fillId="4" borderId="1" xfId="0" applyFont="1" applyFill="1" applyBorder="1"/>
    <xf numFmtId="0" fontId="18" fillId="5" borderId="2" xfId="0" applyFont="1" applyFill="1" applyBorder="1"/>
    <xf numFmtId="0" fontId="0" fillId="0" borderId="2" xfId="0" applyBorder="1"/>
    <xf numFmtId="0" fontId="0" fillId="0" borderId="3" xfId="0" applyBorder="1"/>
    <xf numFmtId="0" fontId="0" fillId="6" borderId="4" xfId="0" applyFill="1" applyBorder="1"/>
    <xf numFmtId="0" fontId="18" fillId="6" borderId="4" xfId="0" applyFont="1" applyFill="1" applyBorder="1"/>
    <xf numFmtId="0" fontId="18" fillId="6" borderId="5" xfId="0" applyFont="1" applyFill="1" applyBorder="1"/>
    <xf numFmtId="164" fontId="0" fillId="0" borderId="2" xfId="0" applyNumberFormat="1" applyBorder="1"/>
    <xf numFmtId="0" fontId="18" fillId="5" borderId="0" xfId="0" applyFont="1" applyFill="1"/>
    <xf numFmtId="0" fontId="0" fillId="7" borderId="0" xfId="0" applyFill="1"/>
    <xf numFmtId="0" fontId="18" fillId="5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quotePrefix="1" applyBorder="1"/>
    <xf numFmtId="14" fontId="0" fillId="0" borderId="6" xfId="0" applyNumberFormat="1" applyBorder="1" applyAlignment="1">
      <alignment horizontal="left"/>
    </xf>
    <xf numFmtId="0" fontId="18" fillId="5" borderId="7" xfId="0" applyFont="1" applyFill="1" applyBorder="1" applyAlignment="1">
      <alignment horizontal="left"/>
    </xf>
    <xf numFmtId="0" fontId="18" fillId="5" borderId="3" xfId="0" applyFont="1" applyFill="1" applyBorder="1"/>
    <xf numFmtId="0" fontId="18" fillId="5" borderId="8" xfId="0" applyFont="1" applyFill="1" applyBorder="1"/>
    <xf numFmtId="14" fontId="0" fillId="0" borderId="9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6" borderId="2" xfId="0" applyFill="1" applyBorder="1"/>
    <xf numFmtId="9" fontId="11" fillId="0" borderId="2" xfId="6" applyFont="1" applyBorder="1"/>
    <xf numFmtId="9" fontId="11" fillId="0" borderId="0" xfId="6" applyFont="1"/>
    <xf numFmtId="9" fontId="0" fillId="0" borderId="0" xfId="0" applyNumberFormat="1"/>
    <xf numFmtId="0" fontId="11" fillId="0" borderId="2" xfId="6" applyNumberFormat="1" applyFont="1" applyBorder="1"/>
    <xf numFmtId="14" fontId="0" fillId="0" borderId="2" xfId="0" applyNumberFormat="1" applyBorder="1"/>
    <xf numFmtId="1" fontId="0" fillId="0" borderId="2" xfId="0" applyNumberFormat="1" applyBorder="1"/>
    <xf numFmtId="22" fontId="0" fillId="0" borderId="0" xfId="0" applyNumberFormat="1"/>
    <xf numFmtId="14" fontId="0" fillId="0" borderId="0" xfId="0" applyNumberFormat="1"/>
    <xf numFmtId="0" fontId="0" fillId="5" borderId="2" xfId="0" applyFill="1" applyBorder="1"/>
    <xf numFmtId="20" fontId="0" fillId="0" borderId="2" xfId="0" applyNumberFormat="1" applyBorder="1"/>
    <xf numFmtId="9" fontId="0" fillId="0" borderId="2" xfId="0" applyNumberFormat="1" applyBorder="1"/>
    <xf numFmtId="0" fontId="0" fillId="0" borderId="2" xfId="0" applyBorder="1" applyAlignment="1">
      <alignment horizontal="left"/>
    </xf>
    <xf numFmtId="1" fontId="0" fillId="0" borderId="0" xfId="0" applyNumberFormat="1"/>
    <xf numFmtId="0" fontId="19" fillId="8" borderId="1" xfId="0" applyFont="1" applyFill="1" applyBorder="1" applyAlignment="1">
      <alignment horizontal="center" vertical="center"/>
    </xf>
    <xf numFmtId="0" fontId="14" fillId="0" borderId="0" xfId="4"/>
    <xf numFmtId="0" fontId="18" fillId="0" borderId="0" xfId="0" applyFont="1"/>
    <xf numFmtId="0" fontId="0" fillId="0" borderId="37" xfId="0" applyBorder="1"/>
    <xf numFmtId="0" fontId="18" fillId="5" borderId="37" xfId="0" applyFont="1" applyFill="1" applyBorder="1"/>
    <xf numFmtId="0" fontId="0" fillId="0" borderId="38" xfId="0" applyBorder="1"/>
    <xf numFmtId="0" fontId="18" fillId="5" borderId="10" xfId="0" applyFont="1" applyFill="1" applyBorder="1"/>
    <xf numFmtId="0" fontId="0" fillId="0" borderId="6" xfId="0" applyBorder="1"/>
    <xf numFmtId="165" fontId="0" fillId="0" borderId="0" xfId="0" applyNumberFormat="1"/>
    <xf numFmtId="164" fontId="0" fillId="0" borderId="6" xfId="0" applyNumberFormat="1" applyBorder="1"/>
    <xf numFmtId="164" fontId="0" fillId="0" borderId="37" xfId="0" applyNumberFormat="1" applyBorder="1"/>
    <xf numFmtId="0" fontId="0" fillId="0" borderId="37" xfId="0" quotePrefix="1" applyBorder="1"/>
    <xf numFmtId="0" fontId="18" fillId="5" borderId="10" xfId="0" applyFont="1" applyFill="1" applyBorder="1" applyAlignment="1">
      <alignment horizontal="left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37" xfId="0" applyBorder="1" applyAlignment="1">
      <alignment wrapText="1"/>
    </xf>
    <xf numFmtId="0" fontId="0" fillId="0" borderId="39" xfId="0" applyBorder="1"/>
    <xf numFmtId="0" fontId="18" fillId="5" borderId="38" xfId="0" applyFont="1" applyFill="1" applyBorder="1" applyAlignment="1">
      <alignment wrapText="1"/>
    </xf>
    <xf numFmtId="0" fontId="18" fillId="0" borderId="37" xfId="0" applyFont="1" applyBorder="1"/>
    <xf numFmtId="0" fontId="18" fillId="5" borderId="39" xfId="0" applyFont="1" applyFill="1" applyBorder="1"/>
    <xf numFmtId="0" fontId="0" fillId="0" borderId="40" xfId="0" applyBorder="1"/>
    <xf numFmtId="14" fontId="0" fillId="0" borderId="3" xfId="0" applyNumberFormat="1" applyBorder="1"/>
    <xf numFmtId="14" fontId="0" fillId="0" borderId="37" xfId="0" applyNumberFormat="1" applyBorder="1"/>
    <xf numFmtId="0" fontId="0" fillId="0" borderId="37" xfId="0" applyBorder="1" applyAlignment="1">
      <alignment horizontal="left"/>
    </xf>
    <xf numFmtId="0" fontId="0" fillId="0" borderId="12" xfId="0" applyBorder="1"/>
    <xf numFmtId="0" fontId="0" fillId="0" borderId="41" xfId="0" applyBorder="1"/>
    <xf numFmtId="14" fontId="0" fillId="0" borderId="39" xfId="0" applyNumberFormat="1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18" fillId="5" borderId="41" xfId="0" applyFont="1" applyFill="1" applyBorder="1"/>
    <xf numFmtId="0" fontId="18" fillId="5" borderId="13" xfId="0" applyFont="1" applyFill="1" applyBorder="1"/>
    <xf numFmtId="0" fontId="18" fillId="5" borderId="2" xfId="0" applyFont="1" applyFill="1" applyBorder="1" applyAlignment="1">
      <alignment wrapText="1"/>
    </xf>
    <xf numFmtId="0" fontId="3" fillId="9" borderId="5" xfId="5" applyFont="1" applyFill="1" applyBorder="1"/>
    <xf numFmtId="0" fontId="2" fillId="5" borderId="14" xfId="5" applyFill="1" applyBorder="1"/>
    <xf numFmtId="0" fontId="2" fillId="5" borderId="15" xfId="5" applyFill="1" applyBorder="1"/>
    <xf numFmtId="15" fontId="2" fillId="5" borderId="15" xfId="5" applyNumberFormat="1" applyFill="1" applyBorder="1"/>
    <xf numFmtId="0" fontId="2" fillId="0" borderId="0" xfId="5"/>
    <xf numFmtId="0" fontId="2" fillId="10" borderId="14" xfId="5" applyFill="1" applyBorder="1"/>
    <xf numFmtId="0" fontId="2" fillId="10" borderId="15" xfId="5" applyFill="1" applyBorder="1"/>
    <xf numFmtId="15" fontId="2" fillId="10" borderId="15" xfId="5" applyNumberFormat="1" applyFill="1" applyBorder="1"/>
    <xf numFmtId="0" fontId="20" fillId="11" borderId="5" xfId="5" applyFont="1" applyFill="1" applyBorder="1"/>
    <xf numFmtId="0" fontId="21" fillId="11" borderId="0" xfId="5" applyFont="1" applyFill="1"/>
    <xf numFmtId="0" fontId="2" fillId="10" borderId="16" xfId="5" applyFill="1" applyBorder="1"/>
    <xf numFmtId="0" fontId="2" fillId="10" borderId="0" xfId="5" applyFill="1"/>
    <xf numFmtId="0" fontId="2" fillId="10" borderId="17" xfId="5" applyFill="1" applyBorder="1"/>
    <xf numFmtId="0" fontId="5" fillId="10" borderId="16" xfId="5" applyFont="1" applyFill="1" applyBorder="1"/>
    <xf numFmtId="0" fontId="2" fillId="5" borderId="18" xfId="5" applyFill="1" applyBorder="1"/>
    <xf numFmtId="0" fontId="2" fillId="10" borderId="18" xfId="5" applyFill="1" applyBorder="1"/>
    <xf numFmtId="0" fontId="2" fillId="10" borderId="0" xfId="5" applyFill="1" applyProtection="1">
      <protection hidden="1"/>
    </xf>
    <xf numFmtId="0" fontId="2" fillId="10" borderId="18" xfId="5" applyFill="1" applyBorder="1" applyProtection="1">
      <protection hidden="1"/>
    </xf>
    <xf numFmtId="0" fontId="2" fillId="10" borderId="18" xfId="5" applyFill="1" applyBorder="1" applyAlignment="1" applyProtection="1">
      <alignment horizontal="left"/>
      <protection hidden="1"/>
    </xf>
    <xf numFmtId="0" fontId="2" fillId="10" borderId="19" xfId="5" applyFill="1" applyBorder="1"/>
    <xf numFmtId="0" fontId="2" fillId="10" borderId="1" xfId="5" applyFill="1" applyBorder="1"/>
    <xf numFmtId="0" fontId="2" fillId="10" borderId="20" xfId="5" applyFill="1" applyBorder="1"/>
    <xf numFmtId="0" fontId="14" fillId="12" borderId="0" xfId="4" applyFill="1"/>
    <xf numFmtId="0" fontId="0" fillId="13" borderId="0" xfId="0" applyFill="1"/>
    <xf numFmtId="0" fontId="15" fillId="0" borderId="0" xfId="0" applyFont="1"/>
    <xf numFmtId="0" fontId="15" fillId="5" borderId="2" xfId="0" applyFont="1" applyFill="1" applyBorder="1"/>
    <xf numFmtId="0" fontId="22" fillId="14" borderId="2" xfId="1" applyFont="1" applyFill="1" applyBorder="1"/>
    <xf numFmtId="165" fontId="22" fillId="14" borderId="2" xfId="1" applyNumberFormat="1" applyFont="1" applyFill="1" applyBorder="1"/>
    <xf numFmtId="0" fontId="0" fillId="15" borderId="2" xfId="0" applyFill="1" applyBorder="1"/>
    <xf numFmtId="165" fontId="0" fillId="15" borderId="2" xfId="0" applyNumberFormat="1" applyFill="1" applyBorder="1"/>
    <xf numFmtId="0" fontId="22" fillId="16" borderId="2" xfId="1" applyFont="1" applyFill="1" applyBorder="1"/>
    <xf numFmtId="165" fontId="22" fillId="16" borderId="2" xfId="1" applyNumberFormat="1" applyFont="1" applyFill="1" applyBorder="1"/>
    <xf numFmtId="0" fontId="0" fillId="14" borderId="2" xfId="0" applyFill="1" applyBorder="1"/>
    <xf numFmtId="165" fontId="0" fillId="14" borderId="2" xfId="0" applyNumberFormat="1" applyFill="1" applyBorder="1"/>
    <xf numFmtId="0" fontId="0" fillId="16" borderId="2" xfId="0" applyFill="1" applyBorder="1"/>
    <xf numFmtId="165" fontId="0" fillId="16" borderId="2" xfId="0" applyNumberFormat="1" applyFill="1" applyBorder="1"/>
    <xf numFmtId="0" fontId="22" fillId="15" borderId="2" xfId="1" applyFont="1" applyFill="1" applyBorder="1"/>
    <xf numFmtId="165" fontId="22" fillId="15" borderId="2" xfId="1" applyNumberFormat="1" applyFont="1" applyFill="1" applyBorder="1"/>
    <xf numFmtId="0" fontId="16" fillId="5" borderId="0" xfId="0" applyFont="1" applyFill="1"/>
    <xf numFmtId="0" fontId="6" fillId="0" borderId="21" xfId="7" applyFont="1" applyBorder="1" applyAlignment="1">
      <alignment horizontal="center"/>
    </xf>
    <xf numFmtId="0" fontId="6" fillId="0" borderId="2" xfId="7" applyFont="1" applyBorder="1" applyAlignment="1">
      <alignment horizontal="center"/>
    </xf>
    <xf numFmtId="166" fontId="6" fillId="0" borderId="2" xfId="7" applyNumberFormat="1" applyFont="1" applyBorder="1" applyAlignment="1">
      <alignment horizontal="center"/>
    </xf>
    <xf numFmtId="166" fontId="7" fillId="0" borderId="22" xfId="7" applyNumberFormat="1" applyFont="1" applyBorder="1" applyAlignment="1">
      <alignment horizontal="right"/>
    </xf>
    <xf numFmtId="0" fontId="6" fillId="0" borderId="23" xfId="7" applyFont="1" applyBorder="1" applyAlignment="1">
      <alignment horizontal="center"/>
    </xf>
    <xf numFmtId="0" fontId="6" fillId="0" borderId="24" xfId="7" applyFont="1" applyBorder="1" applyAlignment="1">
      <alignment horizontal="center"/>
    </xf>
    <xf numFmtId="166" fontId="6" fillId="0" borderId="24" xfId="7" applyNumberFormat="1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17" xfId="0" applyBorder="1"/>
    <xf numFmtId="0" fontId="2" fillId="0" borderId="27" xfId="3" applyBorder="1" applyAlignment="1">
      <alignment horizontal="center"/>
    </xf>
    <xf numFmtId="0" fontId="8" fillId="0" borderId="0" xfId="0" applyFont="1"/>
    <xf numFmtId="0" fontId="6" fillId="0" borderId="28" xfId="7" applyFont="1" applyBorder="1" applyAlignment="1">
      <alignment horizontal="center"/>
    </xf>
    <xf numFmtId="0" fontId="7" fillId="5" borderId="2" xfId="7" applyNumberFormat="1" applyFont="1" applyFill="1" applyBorder="1" applyAlignment="1">
      <alignment horizontal="center"/>
    </xf>
    <xf numFmtId="0" fontId="7" fillId="0" borderId="0" xfId="0" applyFont="1"/>
    <xf numFmtId="0" fontId="0" fillId="0" borderId="14" xfId="0" applyBorder="1"/>
    <xf numFmtId="0" fontId="5" fillId="5" borderId="29" xfId="3" applyFont="1" applyFill="1" applyBorder="1" applyAlignment="1">
      <alignment horizontal="center" wrapText="1"/>
    </xf>
    <xf numFmtId="0" fontId="5" fillId="5" borderId="30" xfId="3" applyFont="1" applyFill="1" applyBorder="1" applyAlignment="1">
      <alignment horizontal="center" wrapText="1"/>
    </xf>
    <xf numFmtId="0" fontId="5" fillId="5" borderId="31" xfId="3" applyFont="1" applyFill="1" applyBorder="1" applyAlignment="1">
      <alignment horizontal="center" wrapText="1"/>
    </xf>
    <xf numFmtId="0" fontId="10" fillId="2" borderId="32" xfId="0" applyFont="1" applyFill="1" applyBorder="1" applyAlignment="1">
      <alignment horizontal="center" vertical="center" wrapText="1"/>
    </xf>
    <xf numFmtId="43" fontId="11" fillId="0" borderId="0" xfId="2" applyFont="1"/>
    <xf numFmtId="0" fontId="0" fillId="5" borderId="0" xfId="0" applyFill="1"/>
    <xf numFmtId="0" fontId="0" fillId="17" borderId="0" xfId="0" applyFill="1"/>
    <xf numFmtId="0" fontId="23" fillId="0" borderId="2" xfId="0" applyFont="1" applyBorder="1"/>
    <xf numFmtId="0" fontId="0" fillId="0" borderId="0" xfId="0" applyProtection="1">
      <protection locked="0"/>
    </xf>
    <xf numFmtId="0" fontId="14" fillId="0" borderId="0" xfId="4" applyProtection="1">
      <protection locked="0"/>
    </xf>
    <xf numFmtId="0" fontId="18" fillId="0" borderId="42" xfId="0" applyFont="1" applyBorder="1"/>
    <xf numFmtId="0" fontId="0" fillId="0" borderId="0" xfId="0" pivotButton="1"/>
    <xf numFmtId="43" fontId="0" fillId="0" borderId="0" xfId="0" applyNumberFormat="1"/>
    <xf numFmtId="15" fontId="0" fillId="0" borderId="0" xfId="0" applyNumberFormat="1"/>
    <xf numFmtId="0" fontId="24" fillId="0" borderId="0" xfId="0" applyFont="1" applyAlignment="1">
      <alignment horizontal="left" vertical="center"/>
    </xf>
    <xf numFmtId="0" fontId="18" fillId="5" borderId="11" xfId="0" applyFont="1" applyFill="1" applyBorder="1"/>
    <xf numFmtId="0" fontId="17" fillId="4" borderId="1" xfId="0" applyFont="1" applyFill="1" applyBorder="1" applyAlignment="1">
      <alignment horizontal="left" vertical="center"/>
    </xf>
    <xf numFmtId="0" fontId="12" fillId="5" borderId="43" xfId="0" applyFont="1" applyFill="1" applyBorder="1"/>
    <xf numFmtId="0" fontId="12" fillId="5" borderId="2" xfId="0" applyFont="1" applyFill="1" applyBorder="1"/>
    <xf numFmtId="167" fontId="0" fillId="0" borderId="2" xfId="0" applyNumberFormat="1" applyBorder="1"/>
    <xf numFmtId="0" fontId="17" fillId="4" borderId="1" xfId="0" applyFont="1" applyFill="1" applyBorder="1" applyAlignment="1">
      <alignment horizontal="left" vertical="center"/>
    </xf>
    <xf numFmtId="0" fontId="18" fillId="5" borderId="11" xfId="0" applyFont="1" applyFill="1" applyBorder="1"/>
    <xf numFmtId="0" fontId="18" fillId="5" borderId="6" xfId="0" applyFont="1" applyFill="1" applyBorder="1"/>
    <xf numFmtId="0" fontId="0" fillId="0" borderId="2" xfId="0" applyBorder="1" applyAlignment="1">
      <alignment horizontal="center"/>
    </xf>
    <xf numFmtId="0" fontId="18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7" fillId="4" borderId="1" xfId="0" applyFont="1" applyFill="1" applyBorder="1" applyAlignment="1">
      <alignment horizontal="center" vertical="center"/>
    </xf>
    <xf numFmtId="0" fontId="4" fillId="10" borderId="34" xfId="5" applyFont="1" applyFill="1" applyBorder="1" applyAlignment="1">
      <alignment horizontal="center"/>
    </xf>
    <xf numFmtId="0" fontId="4" fillId="10" borderId="35" xfId="5" applyFont="1" applyFill="1" applyBorder="1" applyAlignment="1">
      <alignment horizontal="center"/>
    </xf>
    <xf numFmtId="0" fontId="4" fillId="10" borderId="36" xfId="5" applyFont="1" applyFill="1" applyBorder="1" applyAlignment="1">
      <alignment horizontal="center"/>
    </xf>
  </cellXfs>
  <cellStyles count="8">
    <cellStyle name="Bad" xfId="1" builtinId="27"/>
    <cellStyle name="Comma" xfId="2" builtinId="3"/>
    <cellStyle name="GreyOrWhite" xfId="3" xr:uid="{3574BB88-964A-48E6-AD74-CBA54C58A4A0}"/>
    <cellStyle name="Hyperlink" xfId="4" builtinId="8"/>
    <cellStyle name="Normal" xfId="0" builtinId="0"/>
    <cellStyle name="Normal 2" xfId="5" xr:uid="{C78620D6-1BF5-4661-9942-3C9BE75883B3}"/>
    <cellStyle name="Percent" xfId="6" builtinId="5"/>
    <cellStyle name="Yellow" xfId="7" xr:uid="{CCB25A3F-5323-4E17-91D2-7AC354F1D668}"/>
  </cellStyles>
  <dxfs count="7"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microsoft.com/office/2017/06/relationships/rdRichValue" Target="richData/rdrichvalue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microsoft.com/office/2017/06/relationships/rdRichValueStructure" Target="richData/rdrichvaluestructure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sheetMetadata" Target="metadata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06/relationships/rdRichValueTypes" Target="richData/rdRichValueTypes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[workshop.xlsx]Sheet1!PivotTable1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18F4-4607-A898-117F596497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8F4-4607-A898-117F596497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8F4-4607-A898-117F596497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8F4-4607-A898-117F596497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8F4-4607-A898-117F596497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8F4-4607-A898-117F596497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8F4-4607-A898-117F5964972C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F4-4607-A898-117F59649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[workshop.xlsx]Sheet2!PivotTable2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3-4E99-870D-AEBDD4D97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66030800"/>
        <c:axId val="1"/>
      </c:barChart>
      <c:catAx>
        <c:axId val="96603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080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[workshop.xlsx]Sheet2!PivotTable2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3-460E-BA85-F71B43E19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70526784"/>
        <c:axId val="1"/>
      </c:barChart>
      <c:catAx>
        <c:axId val="970526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5267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[workshop.xlsx]Sheet1!PivotTable1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2089-4784-837D-349E3934B6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89-4784-837D-349E3934B6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089-4784-837D-349E3934B6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89-4784-837D-349E3934B6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089-4784-837D-349E3934B6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089-4784-837D-349E3934B63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089-4784-837D-349E3934B63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89-4784-837D-349E3934B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[workshop.xlsx]Sheet13!PivotTable9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'Salary' has an outlier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12-Dec-84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Sheet13!$B$2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0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C46-4CAE-B734-BCFBE22696B5}"/>
              </c:ext>
            </c:extLst>
          </c:dPt>
          <c:cat>
            <c:strRef>
              <c:f>Sheet13!$A$3:$A$78</c:f>
              <c:strCache>
                <c:ptCount val="75"/>
                <c:pt idx="0">
                  <c:v>01-Jan-77</c:v>
                </c:pt>
                <c:pt idx="1">
                  <c:v>20-Jul-77</c:v>
                </c:pt>
                <c:pt idx="2">
                  <c:v>21-Feb-79</c:v>
                </c:pt>
                <c:pt idx="3">
                  <c:v>13-Nov-79</c:v>
                </c:pt>
                <c:pt idx="4">
                  <c:v>24-Nov-79</c:v>
                </c:pt>
                <c:pt idx="5">
                  <c:v>06-Jan-80</c:v>
                </c:pt>
                <c:pt idx="6">
                  <c:v>21-May-80</c:v>
                </c:pt>
                <c:pt idx="7">
                  <c:v>01-Oct-82</c:v>
                </c:pt>
                <c:pt idx="8">
                  <c:v>01-Mar-83</c:v>
                </c:pt>
                <c:pt idx="9">
                  <c:v>11-Dec-84</c:v>
                </c:pt>
                <c:pt idx="10">
                  <c:v>12-Dec-84</c:v>
                </c:pt>
                <c:pt idx="11">
                  <c:v>13-Dec-84</c:v>
                </c:pt>
                <c:pt idx="12">
                  <c:v>14-Dec-84</c:v>
                </c:pt>
                <c:pt idx="13">
                  <c:v>21-Dec-85</c:v>
                </c:pt>
                <c:pt idx="14">
                  <c:v>13-Aug-86</c:v>
                </c:pt>
                <c:pt idx="15">
                  <c:v>01-Nov-86</c:v>
                </c:pt>
                <c:pt idx="16">
                  <c:v>14-Jan-87</c:v>
                </c:pt>
                <c:pt idx="17">
                  <c:v>24-Nov-87</c:v>
                </c:pt>
                <c:pt idx="18">
                  <c:v>25-Nov-87</c:v>
                </c:pt>
                <c:pt idx="19">
                  <c:v>26-Nov-87</c:v>
                </c:pt>
                <c:pt idx="20">
                  <c:v>07-Feb-88</c:v>
                </c:pt>
                <c:pt idx="21">
                  <c:v>04-Sep-88</c:v>
                </c:pt>
                <c:pt idx="22">
                  <c:v>19-Oct-88</c:v>
                </c:pt>
                <c:pt idx="23">
                  <c:v>20-Oct-88</c:v>
                </c:pt>
                <c:pt idx="24">
                  <c:v>21-Oct-88</c:v>
                </c:pt>
                <c:pt idx="25">
                  <c:v>22-Oct-88</c:v>
                </c:pt>
                <c:pt idx="26">
                  <c:v>23-Oct-88</c:v>
                </c:pt>
                <c:pt idx="27">
                  <c:v>24-Oct-88</c:v>
                </c:pt>
                <c:pt idx="28">
                  <c:v>25-Oct-88</c:v>
                </c:pt>
                <c:pt idx="29">
                  <c:v>26-Oct-88</c:v>
                </c:pt>
                <c:pt idx="30">
                  <c:v>27-Oct-88</c:v>
                </c:pt>
                <c:pt idx="31">
                  <c:v>28-Oct-88</c:v>
                </c:pt>
                <c:pt idx="32">
                  <c:v>29-Oct-88</c:v>
                </c:pt>
                <c:pt idx="33">
                  <c:v>30-Oct-88</c:v>
                </c:pt>
                <c:pt idx="34">
                  <c:v>31-Oct-88</c:v>
                </c:pt>
                <c:pt idx="35">
                  <c:v>01-Nov-88</c:v>
                </c:pt>
                <c:pt idx="36">
                  <c:v>05-Apr-89</c:v>
                </c:pt>
                <c:pt idx="37">
                  <c:v>06-Apr-89</c:v>
                </c:pt>
                <c:pt idx="38">
                  <c:v>07-Apr-89</c:v>
                </c:pt>
                <c:pt idx="39">
                  <c:v>08-Apr-89</c:v>
                </c:pt>
                <c:pt idx="40">
                  <c:v>09-Apr-89</c:v>
                </c:pt>
                <c:pt idx="41">
                  <c:v>10-Apr-89</c:v>
                </c:pt>
                <c:pt idx="42">
                  <c:v>11-Apr-89</c:v>
                </c:pt>
                <c:pt idx="43">
                  <c:v>04-Sep-89</c:v>
                </c:pt>
                <c:pt idx="44">
                  <c:v>17-Aug-90</c:v>
                </c:pt>
                <c:pt idx="45">
                  <c:v>05-Nov-90</c:v>
                </c:pt>
                <c:pt idx="46">
                  <c:v>17-Nov-90</c:v>
                </c:pt>
                <c:pt idx="47">
                  <c:v>29-Sep-91</c:v>
                </c:pt>
                <c:pt idx="48">
                  <c:v>05-May-92</c:v>
                </c:pt>
                <c:pt idx="49">
                  <c:v>02-Jul-92</c:v>
                </c:pt>
                <c:pt idx="50">
                  <c:v>01-Oct-92</c:v>
                </c:pt>
                <c:pt idx="51">
                  <c:v>09-May-93</c:v>
                </c:pt>
                <c:pt idx="52">
                  <c:v>03-Sep-94</c:v>
                </c:pt>
                <c:pt idx="53">
                  <c:v>03-Mar-95</c:v>
                </c:pt>
                <c:pt idx="54">
                  <c:v>04-Mar-95</c:v>
                </c:pt>
                <c:pt idx="55">
                  <c:v>05-Mar-95</c:v>
                </c:pt>
                <c:pt idx="56">
                  <c:v>19-Mar-95</c:v>
                </c:pt>
                <c:pt idx="57">
                  <c:v>01-Dec-95</c:v>
                </c:pt>
                <c:pt idx="58">
                  <c:v>04-May-96</c:v>
                </c:pt>
                <c:pt idx="59">
                  <c:v>14-Jun-97</c:v>
                </c:pt>
                <c:pt idx="60">
                  <c:v>07-Jul-97</c:v>
                </c:pt>
                <c:pt idx="61">
                  <c:v>30-Dec-97</c:v>
                </c:pt>
                <c:pt idx="62">
                  <c:v>14-Jan-98</c:v>
                </c:pt>
                <c:pt idx="63">
                  <c:v>15-Jan-98</c:v>
                </c:pt>
                <c:pt idx="64">
                  <c:v>16-Jan-98</c:v>
                </c:pt>
                <c:pt idx="65">
                  <c:v>02-Feb-99</c:v>
                </c:pt>
                <c:pt idx="66">
                  <c:v>01-Mar-99</c:v>
                </c:pt>
                <c:pt idx="67">
                  <c:v>02-Mar-99</c:v>
                </c:pt>
                <c:pt idx="68">
                  <c:v>03-Mar-99</c:v>
                </c:pt>
                <c:pt idx="69">
                  <c:v>24-Apr-99</c:v>
                </c:pt>
                <c:pt idx="70">
                  <c:v>05-Jun-99</c:v>
                </c:pt>
                <c:pt idx="71">
                  <c:v>06-Jun-99</c:v>
                </c:pt>
                <c:pt idx="72">
                  <c:v>07-Jun-99</c:v>
                </c:pt>
                <c:pt idx="73">
                  <c:v>08-Jun-99</c:v>
                </c:pt>
                <c:pt idx="74">
                  <c:v>12-Dec-99</c:v>
                </c:pt>
              </c:strCache>
            </c:strRef>
          </c:cat>
          <c:val>
            <c:numRef>
              <c:f>Sheet13!$B$3:$B$78</c:f>
              <c:numCache>
                <c:formatCode>General</c:formatCode>
                <c:ptCount val="75"/>
                <c:pt idx="0">
                  <c:v>19687.5</c:v>
                </c:pt>
                <c:pt idx="1">
                  <c:v>15750</c:v>
                </c:pt>
                <c:pt idx="2">
                  <c:v>22750</c:v>
                </c:pt>
                <c:pt idx="3">
                  <c:v>22750</c:v>
                </c:pt>
                <c:pt idx="4">
                  <c:v>12250</c:v>
                </c:pt>
                <c:pt idx="5">
                  <c:v>22750</c:v>
                </c:pt>
                <c:pt idx="6">
                  <c:v>14875</c:v>
                </c:pt>
                <c:pt idx="7">
                  <c:v>20708.333333333332</c:v>
                </c:pt>
                <c:pt idx="8">
                  <c:v>17500</c:v>
                </c:pt>
                <c:pt idx="9">
                  <c:v>19250</c:v>
                </c:pt>
                <c:pt idx="10">
                  <c:v>49000</c:v>
                </c:pt>
                <c:pt idx="11">
                  <c:v>14875</c:v>
                </c:pt>
                <c:pt idx="12">
                  <c:v>14875</c:v>
                </c:pt>
                <c:pt idx="13">
                  <c:v>14875</c:v>
                </c:pt>
                <c:pt idx="14">
                  <c:v>10500</c:v>
                </c:pt>
                <c:pt idx="15">
                  <c:v>15750</c:v>
                </c:pt>
                <c:pt idx="16">
                  <c:v>19250</c:v>
                </c:pt>
                <c:pt idx="17">
                  <c:v>19250</c:v>
                </c:pt>
                <c:pt idx="18">
                  <c:v>19250</c:v>
                </c:pt>
                <c:pt idx="19">
                  <c:v>19251</c:v>
                </c:pt>
                <c:pt idx="20">
                  <c:v>15750</c:v>
                </c:pt>
                <c:pt idx="21">
                  <c:v>12425</c:v>
                </c:pt>
                <c:pt idx="22">
                  <c:v>15435</c:v>
                </c:pt>
                <c:pt idx="23">
                  <c:v>15750</c:v>
                </c:pt>
                <c:pt idx="24">
                  <c:v>19250</c:v>
                </c:pt>
                <c:pt idx="25">
                  <c:v>17500</c:v>
                </c:pt>
                <c:pt idx="26">
                  <c:v>17500</c:v>
                </c:pt>
                <c:pt idx="27">
                  <c:v>17500</c:v>
                </c:pt>
                <c:pt idx="28">
                  <c:v>17500</c:v>
                </c:pt>
                <c:pt idx="29">
                  <c:v>17500</c:v>
                </c:pt>
                <c:pt idx="30">
                  <c:v>17500</c:v>
                </c:pt>
                <c:pt idx="31">
                  <c:v>18812.5</c:v>
                </c:pt>
                <c:pt idx="32">
                  <c:v>17500</c:v>
                </c:pt>
                <c:pt idx="33">
                  <c:v>17500</c:v>
                </c:pt>
                <c:pt idx="34">
                  <c:v>17500</c:v>
                </c:pt>
                <c:pt idx="35">
                  <c:v>17500</c:v>
                </c:pt>
                <c:pt idx="36">
                  <c:v>17325</c:v>
                </c:pt>
                <c:pt idx="37">
                  <c:v>17325</c:v>
                </c:pt>
                <c:pt idx="38">
                  <c:v>17325</c:v>
                </c:pt>
                <c:pt idx="39">
                  <c:v>17325</c:v>
                </c:pt>
                <c:pt idx="40">
                  <c:v>17325</c:v>
                </c:pt>
                <c:pt idx="41">
                  <c:v>17325</c:v>
                </c:pt>
                <c:pt idx="42">
                  <c:v>17325</c:v>
                </c:pt>
                <c:pt idx="43">
                  <c:v>16712.5</c:v>
                </c:pt>
                <c:pt idx="44">
                  <c:v>12425</c:v>
                </c:pt>
                <c:pt idx="45">
                  <c:v>17500</c:v>
                </c:pt>
                <c:pt idx="46">
                  <c:v>13825</c:v>
                </c:pt>
                <c:pt idx="47">
                  <c:v>12075</c:v>
                </c:pt>
                <c:pt idx="48">
                  <c:v>9275</c:v>
                </c:pt>
                <c:pt idx="49">
                  <c:v>13125</c:v>
                </c:pt>
                <c:pt idx="50">
                  <c:v>14875</c:v>
                </c:pt>
                <c:pt idx="51">
                  <c:v>14875</c:v>
                </c:pt>
                <c:pt idx="52">
                  <c:v>11725</c:v>
                </c:pt>
                <c:pt idx="53">
                  <c:v>14875</c:v>
                </c:pt>
                <c:pt idx="54">
                  <c:v>14000</c:v>
                </c:pt>
                <c:pt idx="55">
                  <c:v>14000</c:v>
                </c:pt>
                <c:pt idx="56">
                  <c:v>10500</c:v>
                </c:pt>
                <c:pt idx="57">
                  <c:v>14875</c:v>
                </c:pt>
                <c:pt idx="58">
                  <c:v>9625</c:v>
                </c:pt>
                <c:pt idx="59">
                  <c:v>7875</c:v>
                </c:pt>
                <c:pt idx="60">
                  <c:v>9187.5</c:v>
                </c:pt>
                <c:pt idx="61">
                  <c:v>9187.5</c:v>
                </c:pt>
                <c:pt idx="62">
                  <c:v>7000</c:v>
                </c:pt>
                <c:pt idx="63">
                  <c:v>17500</c:v>
                </c:pt>
                <c:pt idx="64">
                  <c:v>17500</c:v>
                </c:pt>
                <c:pt idx="65">
                  <c:v>7875</c:v>
                </c:pt>
                <c:pt idx="66">
                  <c:v>7000</c:v>
                </c:pt>
                <c:pt idx="67">
                  <c:v>7000</c:v>
                </c:pt>
                <c:pt idx="68">
                  <c:v>7000</c:v>
                </c:pt>
                <c:pt idx="69">
                  <c:v>7875</c:v>
                </c:pt>
                <c:pt idx="70">
                  <c:v>5950</c:v>
                </c:pt>
                <c:pt idx="71">
                  <c:v>7875</c:v>
                </c:pt>
                <c:pt idx="72">
                  <c:v>7875</c:v>
                </c:pt>
                <c:pt idx="73">
                  <c:v>7875</c:v>
                </c:pt>
                <c:pt idx="74">
                  <c:v>14875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46-4CAE-B734-BCFBE2269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923216"/>
        <c:axId val="1"/>
      </c:lineChart>
      <c:catAx>
        <c:axId val="97092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32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[workshop.xlsx]Sheet14!PivotTable11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'Dept':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Director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Sheet14!$B$2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0B12-45BC-8B4A-ACE0B4562A23}"/>
              </c:ext>
            </c:extLst>
          </c:dPt>
          <c:cat>
            <c:strRef>
              <c:f>Sheet14!$A$3:$A$12</c:f>
              <c:strCache>
                <c:ptCount val="9"/>
                <c:pt idx="0">
                  <c:v>Director</c:v>
                </c:pt>
                <c:pt idx="1">
                  <c:v>Finance</c:v>
                </c:pt>
                <c:pt idx="2">
                  <c:v>mkt</c:v>
                </c:pt>
                <c:pt idx="3">
                  <c:v>Sales</c:v>
                </c:pt>
                <c:pt idx="4">
                  <c:v>Personnel</c:v>
                </c:pt>
                <c:pt idx="5">
                  <c:v>CCD</c:v>
                </c:pt>
                <c:pt idx="6">
                  <c:v>Admin</c:v>
                </c:pt>
                <c:pt idx="7">
                  <c:v>R&amp;D</c:v>
                </c:pt>
                <c:pt idx="8">
                  <c:v>Mktg</c:v>
                </c:pt>
              </c:strCache>
            </c:strRef>
          </c:cat>
          <c:val>
            <c:numRef>
              <c:f>Sheet14!$B$3:$B$12</c:f>
              <c:numCache>
                <c:formatCode>General</c:formatCode>
                <c:ptCount val="9"/>
                <c:pt idx="0">
                  <c:v>49000</c:v>
                </c:pt>
                <c:pt idx="1">
                  <c:v>18000</c:v>
                </c:pt>
                <c:pt idx="2">
                  <c:v>17500</c:v>
                </c:pt>
                <c:pt idx="3">
                  <c:v>16872.117647058825</c:v>
                </c:pt>
                <c:pt idx="4">
                  <c:v>15210.416666666666</c:v>
                </c:pt>
                <c:pt idx="5">
                  <c:v>15082.8125</c:v>
                </c:pt>
                <c:pt idx="6">
                  <c:v>14652.272727272728</c:v>
                </c:pt>
                <c:pt idx="7">
                  <c:v>14566.176470588236</c:v>
                </c:pt>
                <c:pt idx="8">
                  <c:v>13358.333333333334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12-45BC-8B4A-ACE0B4562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924176"/>
        <c:axId val="1"/>
      </c:barChart>
      <c:catAx>
        <c:axId val="9709241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Dept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4176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[workshop.xlsx]Sheet15!PivotTable13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R&amp;D',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19-Mar-95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Sheet15!$B$4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399-4669-814B-FD5B7CC97EDC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399-4669-814B-FD5B7CC97EDC}"/>
              </c:ext>
            </c:extLst>
          </c:dPt>
          <c:cat>
            <c:strRef>
              <c:f>Sheet15!$A$5:$A$21</c:f>
              <c:strCache>
                <c:ptCount val="16"/>
                <c:pt idx="0">
                  <c:v>06-Jan-80</c:v>
                </c:pt>
                <c:pt idx="1">
                  <c:v>01-Oct-82</c:v>
                </c:pt>
                <c:pt idx="2">
                  <c:v>22-Oct-88</c:v>
                </c:pt>
                <c:pt idx="3">
                  <c:v>24-Oct-88</c:v>
                </c:pt>
                <c:pt idx="4">
                  <c:v>27-Oct-88</c:v>
                </c:pt>
                <c:pt idx="5">
                  <c:v>01-Nov-88</c:v>
                </c:pt>
                <c:pt idx="6">
                  <c:v>09-Apr-89</c:v>
                </c:pt>
                <c:pt idx="7">
                  <c:v>10-Apr-89</c:v>
                </c:pt>
                <c:pt idx="8">
                  <c:v>04-Sep-89</c:v>
                </c:pt>
                <c:pt idx="9">
                  <c:v>29-Sep-91</c:v>
                </c:pt>
                <c:pt idx="10">
                  <c:v>05-Mar-95</c:v>
                </c:pt>
                <c:pt idx="11">
                  <c:v>19-Mar-95</c:v>
                </c:pt>
                <c:pt idx="12">
                  <c:v>07-Jul-97</c:v>
                </c:pt>
                <c:pt idx="13">
                  <c:v>14-Jan-98</c:v>
                </c:pt>
                <c:pt idx="14">
                  <c:v>03-Mar-99</c:v>
                </c:pt>
                <c:pt idx="15">
                  <c:v>24-Apr-99</c:v>
                </c:pt>
              </c:strCache>
            </c:strRef>
          </c:cat>
          <c:val>
            <c:numRef>
              <c:f>Sheet15!$B$5:$B$21</c:f>
              <c:numCache>
                <c:formatCode>General</c:formatCode>
                <c:ptCount val="16"/>
                <c:pt idx="0">
                  <c:v>22750</c:v>
                </c:pt>
                <c:pt idx="1">
                  <c:v>15750</c:v>
                </c:pt>
                <c:pt idx="2">
                  <c:v>17500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17325</c:v>
                </c:pt>
                <c:pt idx="7">
                  <c:v>17325</c:v>
                </c:pt>
                <c:pt idx="8">
                  <c:v>16712.5</c:v>
                </c:pt>
                <c:pt idx="9">
                  <c:v>13300</c:v>
                </c:pt>
                <c:pt idx="10">
                  <c:v>14000</c:v>
                </c:pt>
                <c:pt idx="11">
                  <c:v>10500</c:v>
                </c:pt>
                <c:pt idx="12">
                  <c:v>11375</c:v>
                </c:pt>
                <c:pt idx="13">
                  <c:v>7000</c:v>
                </c:pt>
                <c:pt idx="14">
                  <c:v>7000</c:v>
                </c:pt>
                <c:pt idx="15">
                  <c:v>7875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99-4669-814B-FD5B7CC97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602512"/>
        <c:axId val="1"/>
      </c:lineChart>
      <c:catAx>
        <c:axId val="970602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2512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[workshop.xlsx]Sheet16!PivotTable14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'Region':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south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Sheet16!$B$4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92C0-4131-93EB-15F2425807B5}"/>
              </c:ext>
            </c:extLst>
          </c:dPt>
          <c:cat>
            <c:strRef>
              <c:f>Sheet16!$A$5:$A$8</c:f>
              <c:strCache>
                <c:ptCount val="3"/>
                <c:pt idx="0">
                  <c:v>south</c:v>
                </c:pt>
                <c:pt idx="1">
                  <c:v>East</c:v>
                </c:pt>
                <c:pt idx="2">
                  <c:v>north</c:v>
                </c:pt>
              </c:strCache>
            </c:strRef>
          </c:cat>
          <c:val>
            <c:numRef>
              <c:f>Sheet16!$B$5:$B$8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C0-4131-93EB-15F242580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603952"/>
        <c:axId val="1"/>
      </c:barChart>
      <c:catAx>
        <c:axId val="9706039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3952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[workshop.xlsx]Sheet17!PivotTable17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CCD',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15-Jan-98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Sheet17!$B$4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57B-4170-8EC8-40EC73C7F900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57B-4170-8EC8-40EC73C7F900}"/>
              </c:ext>
            </c:extLst>
          </c:dPt>
          <c:cat>
            <c:strRef>
              <c:f>Sheet17!$A$5:$A$19</c:f>
              <c:strCache>
                <c:ptCount val="14"/>
                <c:pt idx="0">
                  <c:v>01-Oct-82</c:v>
                </c:pt>
                <c:pt idx="1">
                  <c:v>01-Nov-86</c:v>
                </c:pt>
                <c:pt idx="2">
                  <c:v>19-Oct-88</c:v>
                </c:pt>
                <c:pt idx="3">
                  <c:v>21-Oct-88</c:v>
                </c:pt>
                <c:pt idx="4">
                  <c:v>23-Oct-88</c:v>
                </c:pt>
                <c:pt idx="5">
                  <c:v>26-Oct-88</c:v>
                </c:pt>
                <c:pt idx="6">
                  <c:v>31-Oct-88</c:v>
                </c:pt>
                <c:pt idx="7">
                  <c:v>11-Apr-89</c:v>
                </c:pt>
                <c:pt idx="8">
                  <c:v>29-Sep-91</c:v>
                </c:pt>
                <c:pt idx="9">
                  <c:v>03-Mar-95</c:v>
                </c:pt>
                <c:pt idx="10">
                  <c:v>01-Dec-95</c:v>
                </c:pt>
                <c:pt idx="11">
                  <c:v>07-Jul-97</c:v>
                </c:pt>
                <c:pt idx="12">
                  <c:v>15-Jan-98</c:v>
                </c:pt>
                <c:pt idx="13">
                  <c:v>02-Mar-99</c:v>
                </c:pt>
              </c:strCache>
            </c:strRef>
          </c:cat>
          <c:val>
            <c:numRef>
              <c:f>Sheet17!$B$5:$B$19</c:f>
              <c:numCache>
                <c:formatCode>General</c:formatCode>
                <c:ptCount val="14"/>
                <c:pt idx="0">
                  <c:v>15750</c:v>
                </c:pt>
                <c:pt idx="1">
                  <c:v>15750</c:v>
                </c:pt>
                <c:pt idx="2">
                  <c:v>15750</c:v>
                </c:pt>
                <c:pt idx="3">
                  <c:v>19250</c:v>
                </c:pt>
                <c:pt idx="4">
                  <c:v>17500</c:v>
                </c:pt>
                <c:pt idx="5">
                  <c:v>17500</c:v>
                </c:pt>
                <c:pt idx="6">
                  <c:v>17500</c:v>
                </c:pt>
                <c:pt idx="7">
                  <c:v>17325</c:v>
                </c:pt>
                <c:pt idx="8">
                  <c:v>8750</c:v>
                </c:pt>
                <c:pt idx="9">
                  <c:v>15750</c:v>
                </c:pt>
                <c:pt idx="10">
                  <c:v>15750</c:v>
                </c:pt>
                <c:pt idx="11">
                  <c:v>7000</c:v>
                </c:pt>
                <c:pt idx="12">
                  <c:v>17500</c:v>
                </c:pt>
                <c:pt idx="13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7B-4170-8EC8-40EC73C7F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036416"/>
        <c:axId val="1"/>
      </c:lineChart>
      <c:catAx>
        <c:axId val="966036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64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[workshop.xlsx]Sheet18!PivotTable18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Sheet18!$B$4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928-4B6B-8EA0-DF0C3620A925}"/>
              </c:ext>
            </c:extLst>
          </c:dPt>
          <c:cat>
            <c:strRef>
              <c:f>Sheet18!$A$5:$A$8</c:f>
              <c:strCache>
                <c:ptCount val="3"/>
                <c:pt idx="0">
                  <c:v>14</c:v>
                </c:pt>
                <c:pt idx="1">
                  <c:v>65</c:v>
                </c:pt>
                <c:pt idx="2">
                  <c:v>68</c:v>
                </c:pt>
              </c:strCache>
            </c:strRef>
          </c:cat>
          <c:val>
            <c:numRef>
              <c:f>Sheet18!$B$5:$B$8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8-4B6B-8EA0-DF0C3620A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1563600"/>
        <c:axId val="1"/>
      </c:barChart>
      <c:catAx>
        <c:axId val="9715636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60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[workshop.xlsx]Sheet19!PivotTable19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Shah',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66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77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have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  <c:pivotFmt>
        <c:idx val="2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Sheet19!$B$4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EC37-46BB-8804-B45807BF79D7}"/>
              </c:ext>
            </c:extLst>
          </c:dPt>
          <c:dPt>
            <c:idx val="1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EC37-46BB-8804-B45807BF79D7}"/>
              </c:ext>
            </c:extLst>
          </c:dPt>
          <c:cat>
            <c:strRef>
              <c:f>Sheet19!$A$5:$A$9</c:f>
              <c:strCache>
                <c:ptCount val="4"/>
                <c:pt idx="0">
                  <c:v>66</c:v>
                </c:pt>
                <c:pt idx="1">
                  <c:v>77</c:v>
                </c:pt>
                <c:pt idx="2">
                  <c:v>99</c:v>
                </c:pt>
                <c:pt idx="3">
                  <c:v>83</c:v>
                </c:pt>
              </c:strCache>
            </c:strRef>
          </c:cat>
          <c:val>
            <c:numRef>
              <c:f>Sheet19!$B$5:$B$9</c:f>
              <c:numCache>
                <c:formatCode>General</c:formatCode>
                <c:ptCount val="4"/>
                <c:pt idx="0">
                  <c:v>17500</c:v>
                </c:pt>
                <c:pt idx="1">
                  <c:v>17500</c:v>
                </c:pt>
                <c:pt idx="2">
                  <c:v>10500</c:v>
                </c:pt>
                <c:pt idx="3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37-46BB-8804-B45807BF7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971563120"/>
        <c:axId val="1"/>
      </c:barChart>
      <c:catAx>
        <c:axId val="9715631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12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[workshop.xlsx]Sheet20!PivotTable20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'Branch':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cochin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Sheet20!$B$4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2CE-4278-8703-CA4D6E8A8F4C}"/>
              </c:ext>
            </c:extLst>
          </c:dPt>
          <c:cat>
            <c:strRef>
              <c:f>Sheet20!$A$5:$A$8</c:f>
              <c:strCache>
                <c:ptCount val="3"/>
                <c:pt idx="0">
                  <c:v>cochin</c:v>
                </c:pt>
                <c:pt idx="1">
                  <c:v>Calcutta</c:v>
                </c:pt>
                <c:pt idx="2">
                  <c:v>Delhi</c:v>
                </c:pt>
              </c:strCache>
            </c:strRef>
          </c:cat>
          <c:val>
            <c:numRef>
              <c:f>Sheet20!$B$5:$B$8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CE-4278-8703-CA4D6E8A8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66182848"/>
        <c:axId val="1"/>
      </c:barChart>
      <c:catAx>
        <c:axId val="9661828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2848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[workshop.xlsx]Sheet21!PivotTable21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Sharma',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Salary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decreases over time.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Sheet21!$B$4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ED7331"/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Sheet21!$A$5:$A$8</c:f>
              <c:strCache>
                <c:ptCount val="3"/>
                <c:pt idx="0">
                  <c:v>01-Jan-77</c:v>
                </c:pt>
                <c:pt idx="1">
                  <c:v>09-Apr-89</c:v>
                </c:pt>
                <c:pt idx="2">
                  <c:v>01-Mar-99</c:v>
                </c:pt>
              </c:strCache>
            </c:strRef>
          </c:cat>
          <c:val>
            <c:numRef>
              <c:f>Sheet21!$B$5:$B$8</c:f>
              <c:numCache>
                <c:formatCode>General</c:formatCode>
                <c:ptCount val="3"/>
                <c:pt idx="0">
                  <c:v>17500</c:v>
                </c:pt>
                <c:pt idx="1">
                  <c:v>17325</c:v>
                </c:pt>
                <c:pt idx="2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44-4779-8876-998B81643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183328"/>
        <c:axId val="1"/>
      </c:lineChart>
      <c:catAx>
        <c:axId val="96618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3328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[workshop.xlsx]Sheet23!PivotTable23</c:name>
    <c:fmtId val="0"/>
  </c:pivotSource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66FF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/>
              <a:t>'Salary' by 'Dept' and 'Branch'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90C226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4A021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6B91E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76618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42F1A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18655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Sheet23!$D$4:$D$5</c:f>
              <c:strCache>
                <c:ptCount val="1"/>
                <c:pt idx="0">
                  <c:v>Admin</c:v>
                </c:pt>
              </c:strCache>
            </c:strRef>
          </c:tx>
          <c:spPr>
            <a:solidFill>
              <a:srgbClr val="90C226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Sheet23!$D$6:$D$36</c:f>
              <c:numCache>
                <c:formatCode>General</c:formatCode>
                <c:ptCount val="30"/>
                <c:pt idx="2">
                  <c:v>15750</c:v>
                </c:pt>
                <c:pt idx="5">
                  <c:v>21000</c:v>
                </c:pt>
                <c:pt idx="7">
                  <c:v>15750</c:v>
                </c:pt>
                <c:pt idx="8">
                  <c:v>19250</c:v>
                </c:pt>
                <c:pt idx="14">
                  <c:v>17500</c:v>
                </c:pt>
                <c:pt idx="18">
                  <c:v>19250</c:v>
                </c:pt>
                <c:pt idx="20">
                  <c:v>9625</c:v>
                </c:pt>
                <c:pt idx="21">
                  <c:v>7875</c:v>
                </c:pt>
                <c:pt idx="23">
                  <c:v>15750</c:v>
                </c:pt>
                <c:pt idx="24">
                  <c:v>7000</c:v>
                </c:pt>
                <c:pt idx="25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1-47F9-9DE7-B786404CEA21}"/>
            </c:ext>
          </c:extLst>
        </c:ser>
        <c:ser>
          <c:idx val="1"/>
          <c:order val="1"/>
          <c:tx>
            <c:strRef>
              <c:f>Sheet23!$E$4:$E$5</c:f>
              <c:strCache>
                <c:ptCount val="1"/>
                <c:pt idx="0">
                  <c:v>CCD</c:v>
                </c:pt>
              </c:strCache>
            </c:strRef>
          </c:tx>
          <c:spPr>
            <a:solidFill>
              <a:srgbClr val="54A021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Sheet23!$E$6:$E$36</c:f>
              <c:numCache>
                <c:formatCode>General</c:formatCode>
                <c:ptCount val="30"/>
                <c:pt idx="0">
                  <c:v>15750</c:v>
                </c:pt>
                <c:pt idx="4">
                  <c:v>7000</c:v>
                </c:pt>
                <c:pt idx="5">
                  <c:v>17500</c:v>
                </c:pt>
                <c:pt idx="9">
                  <c:v>17325</c:v>
                </c:pt>
                <c:pt idx="10">
                  <c:v>15750</c:v>
                </c:pt>
                <c:pt idx="11">
                  <c:v>17500</c:v>
                </c:pt>
                <c:pt idx="12">
                  <c:v>15750</c:v>
                </c:pt>
                <c:pt idx="13">
                  <c:v>14000</c:v>
                </c:pt>
                <c:pt idx="14">
                  <c:v>17500</c:v>
                </c:pt>
                <c:pt idx="15">
                  <c:v>17500</c:v>
                </c:pt>
                <c:pt idx="16">
                  <c:v>15750</c:v>
                </c:pt>
                <c:pt idx="17">
                  <c:v>15750</c:v>
                </c:pt>
                <c:pt idx="20">
                  <c:v>17500</c:v>
                </c:pt>
                <c:pt idx="27">
                  <c:v>7000</c:v>
                </c:pt>
                <c:pt idx="28">
                  <c:v>15750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11-47F9-9DE7-B786404CEA21}"/>
            </c:ext>
          </c:extLst>
        </c:ser>
        <c:ser>
          <c:idx val="2"/>
          <c:order val="2"/>
          <c:tx>
            <c:strRef>
              <c:f>Sheet23!$F$4:$F$5</c:f>
              <c:strCache>
                <c:ptCount val="1"/>
                <c:pt idx="0">
                  <c:v>Director</c:v>
                </c:pt>
              </c:strCache>
            </c:strRef>
          </c:tx>
          <c:spPr>
            <a:solidFill>
              <a:srgbClr val="E6B91E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Sheet23!$F$6:$F$36</c:f>
              <c:numCache>
                <c:formatCode>General</c:formatCode>
                <c:ptCount val="30"/>
                <c:pt idx="0">
                  <c:v>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11-47F9-9DE7-B786404CEA21}"/>
            </c:ext>
          </c:extLst>
        </c:ser>
        <c:ser>
          <c:idx val="3"/>
          <c:order val="3"/>
          <c:tx>
            <c:strRef>
              <c:f>Sheet23!$G$4:$G$5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rgbClr val="E76618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Sheet23!$G$6:$G$36</c:f>
              <c:numCache>
                <c:formatCode>General</c:formatCode>
                <c:ptCount val="30"/>
                <c:pt idx="1">
                  <c:v>24500</c:v>
                </c:pt>
                <c:pt idx="4">
                  <c:v>24500</c:v>
                </c:pt>
                <c:pt idx="9">
                  <c:v>24500</c:v>
                </c:pt>
                <c:pt idx="14">
                  <c:v>19250</c:v>
                </c:pt>
                <c:pt idx="22">
                  <c:v>10500</c:v>
                </c:pt>
                <c:pt idx="24">
                  <c:v>7875</c:v>
                </c:pt>
                <c:pt idx="29">
                  <c:v>14875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11-47F9-9DE7-B786404CEA21}"/>
            </c:ext>
          </c:extLst>
        </c:ser>
        <c:ser>
          <c:idx val="4"/>
          <c:order val="4"/>
          <c:tx>
            <c:strRef>
              <c:f>Sheet23!$H$4:$H$5</c:f>
              <c:strCache>
                <c:ptCount val="1"/>
                <c:pt idx="0">
                  <c:v>mkt</c:v>
                </c:pt>
              </c:strCache>
            </c:strRef>
          </c:tx>
          <c:spPr>
            <a:solidFill>
              <a:srgbClr val="C42F1A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Sheet23!$H$6:$H$36</c:f>
              <c:numCache>
                <c:formatCode>General</c:formatCode>
                <c:ptCount val="30"/>
                <c:pt idx="7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11-47F9-9DE7-B786404CEA21}"/>
            </c:ext>
          </c:extLst>
        </c:ser>
        <c:ser>
          <c:idx val="5"/>
          <c:order val="5"/>
          <c:tx>
            <c:strRef>
              <c:f>Sheet23!$I$4:$I$5</c:f>
              <c:strCache>
                <c:ptCount val="1"/>
                <c:pt idx="0">
                  <c:v>Mktg</c:v>
                </c:pt>
              </c:strCache>
            </c:strRef>
          </c:tx>
          <c:spPr>
            <a:solidFill>
              <a:srgbClr val="918655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Sheet23!$I$6:$I$36</c:f>
              <c:numCache>
                <c:formatCode>General</c:formatCode>
                <c:ptCount val="30"/>
                <c:pt idx="3">
                  <c:v>19250</c:v>
                </c:pt>
                <c:pt idx="6">
                  <c:v>17500</c:v>
                </c:pt>
                <c:pt idx="8">
                  <c:v>17325</c:v>
                </c:pt>
                <c:pt idx="9">
                  <c:v>14875</c:v>
                </c:pt>
                <c:pt idx="10">
                  <c:v>17325</c:v>
                </c:pt>
                <c:pt idx="14">
                  <c:v>14000</c:v>
                </c:pt>
                <c:pt idx="18">
                  <c:v>17500</c:v>
                </c:pt>
                <c:pt idx="19">
                  <c:v>17325</c:v>
                </c:pt>
                <c:pt idx="20">
                  <c:v>5950</c:v>
                </c:pt>
                <c:pt idx="21">
                  <c:v>15750</c:v>
                </c:pt>
                <c:pt idx="23">
                  <c:v>7875</c:v>
                </c:pt>
                <c:pt idx="24">
                  <c:v>17500</c:v>
                </c:pt>
                <c:pt idx="25">
                  <c:v>10500</c:v>
                </c:pt>
                <c:pt idx="26">
                  <c:v>7875</c:v>
                </c:pt>
                <c:pt idx="28">
                  <c:v>9275</c:v>
                </c:pt>
                <c:pt idx="29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11-47F9-9DE7-B786404CEA21}"/>
            </c:ext>
          </c:extLst>
        </c:ser>
        <c:ser>
          <c:idx val="6"/>
          <c:order val="6"/>
          <c:tx>
            <c:strRef>
              <c:f>Sheet23!$J$4:$J$5</c:f>
              <c:strCache>
                <c:ptCount val="1"/>
                <c:pt idx="0">
                  <c:v>Personnel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Sheet23!$J$6:$J$36</c:f>
              <c:numCache>
                <c:formatCode>General</c:formatCode>
                <c:ptCount val="30"/>
                <c:pt idx="5">
                  <c:v>14875</c:v>
                </c:pt>
                <c:pt idx="7">
                  <c:v>13825</c:v>
                </c:pt>
                <c:pt idx="9">
                  <c:v>14000</c:v>
                </c:pt>
                <c:pt idx="13">
                  <c:v>20125</c:v>
                </c:pt>
                <c:pt idx="16">
                  <c:v>15750</c:v>
                </c:pt>
                <c:pt idx="18">
                  <c:v>17500</c:v>
                </c:pt>
                <c:pt idx="19">
                  <c:v>11725</c:v>
                </c:pt>
                <c:pt idx="20">
                  <c:v>14875</c:v>
                </c:pt>
                <c:pt idx="22">
                  <c:v>15750</c:v>
                </c:pt>
                <c:pt idx="24">
                  <c:v>17500</c:v>
                </c:pt>
                <c:pt idx="26">
                  <c:v>14175</c:v>
                </c:pt>
                <c:pt idx="29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11-47F9-9DE7-B786404CEA21}"/>
            </c:ext>
          </c:extLst>
        </c:ser>
        <c:ser>
          <c:idx val="7"/>
          <c:order val="7"/>
          <c:tx>
            <c:strRef>
              <c:f>Sheet23!$K$4:$K$5</c:f>
              <c:strCache>
                <c:ptCount val="1"/>
                <c:pt idx="0">
                  <c:v>R&amp;D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Sheet23!$K$6:$K$36</c:f>
              <c:numCache>
                <c:formatCode>General</c:formatCode>
                <c:ptCount val="30"/>
                <c:pt idx="1">
                  <c:v>17500</c:v>
                </c:pt>
                <c:pt idx="2">
                  <c:v>21000</c:v>
                </c:pt>
                <c:pt idx="3">
                  <c:v>17325</c:v>
                </c:pt>
                <c:pt idx="5">
                  <c:v>17500</c:v>
                </c:pt>
                <c:pt idx="6">
                  <c:v>11375</c:v>
                </c:pt>
                <c:pt idx="7">
                  <c:v>17500</c:v>
                </c:pt>
                <c:pt idx="9">
                  <c:v>17500</c:v>
                </c:pt>
                <c:pt idx="12">
                  <c:v>17325</c:v>
                </c:pt>
                <c:pt idx="14">
                  <c:v>10150</c:v>
                </c:pt>
                <c:pt idx="15">
                  <c:v>14000</c:v>
                </c:pt>
                <c:pt idx="18">
                  <c:v>11725</c:v>
                </c:pt>
                <c:pt idx="20">
                  <c:v>22750</c:v>
                </c:pt>
                <c:pt idx="22">
                  <c:v>10500</c:v>
                </c:pt>
                <c:pt idx="28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11-47F9-9DE7-B786404CEA21}"/>
            </c:ext>
          </c:extLst>
        </c:ser>
        <c:ser>
          <c:idx val="8"/>
          <c:order val="8"/>
          <c:tx>
            <c:strRef>
              <c:f>Sheet23!$L$4:$L$5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Sheet23!$L$6:$L$36</c:f>
              <c:numCache>
                <c:formatCode>General</c:formatCode>
                <c:ptCount val="30"/>
                <c:pt idx="2">
                  <c:v>19251</c:v>
                </c:pt>
                <c:pt idx="4">
                  <c:v>22750</c:v>
                </c:pt>
                <c:pt idx="5">
                  <c:v>15750</c:v>
                </c:pt>
                <c:pt idx="6">
                  <c:v>21875</c:v>
                </c:pt>
                <c:pt idx="7">
                  <c:v>19250</c:v>
                </c:pt>
                <c:pt idx="8">
                  <c:v>15225</c:v>
                </c:pt>
                <c:pt idx="9">
                  <c:v>14000</c:v>
                </c:pt>
                <c:pt idx="11">
                  <c:v>14875</c:v>
                </c:pt>
                <c:pt idx="12">
                  <c:v>14875</c:v>
                </c:pt>
                <c:pt idx="13">
                  <c:v>15750</c:v>
                </c:pt>
                <c:pt idx="14">
                  <c:v>22750</c:v>
                </c:pt>
                <c:pt idx="21">
                  <c:v>17500</c:v>
                </c:pt>
                <c:pt idx="22">
                  <c:v>17500</c:v>
                </c:pt>
                <c:pt idx="23">
                  <c:v>14875</c:v>
                </c:pt>
                <c:pt idx="27">
                  <c:v>14875</c:v>
                </c:pt>
                <c:pt idx="28">
                  <c:v>10500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611-47F9-9DE7-B786404CE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0"/>
        <c:overlap val="-30"/>
        <c:axId val="966189840"/>
        <c:axId val="1"/>
      </c:barChart>
      <c:catAx>
        <c:axId val="9661898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984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2352675</xdr:colOff>
      <xdr:row>0</xdr:row>
      <xdr:rowOff>333375</xdr:rowOff>
    </xdr:from>
    <xdr:to>
      <xdr:col>6</xdr:col>
      <xdr:colOff>95250</xdr:colOff>
      <xdr:row>4</xdr:row>
      <xdr:rowOff>152400</xdr:rowOff>
    </xdr:to>
    <xdr:pic>
      <xdr:nvPicPr>
        <xdr:cNvPr id="2054" name="Graphic 2" descr="Arrow Right with solid fill">
          <a:extLst>
            <a:ext uri="{FF2B5EF4-FFF2-40B4-BE49-F238E27FC236}">
              <a16:creationId xmlns:a16="http://schemas.microsoft.com/office/drawing/2014/main" id="{933C863A-C95C-24EF-7F46-C5E419613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0650" y="333375"/>
          <a:ext cx="107632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3</xdr:row>
          <xdr:rowOff>9525</xdr:rowOff>
        </xdr:from>
        <xdr:to>
          <xdr:col>7</xdr:col>
          <xdr:colOff>0</xdr:colOff>
          <xdr:row>5</xdr:row>
          <xdr:rowOff>142875</xdr:rowOff>
        </xdr:to>
        <xdr:pic>
          <xdr:nvPicPr>
            <xdr:cNvPr id="71986" name="Picture 13">
              <a:extLst>
                <a:ext uri="{FF2B5EF4-FFF2-40B4-BE49-F238E27FC236}">
                  <a16:creationId xmlns:a16="http://schemas.microsoft.com/office/drawing/2014/main" id="{3E8B9361-A626-3DA7-4711-9BFCCA28B6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xyz" spid="_x0000_s72056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 r="9290" b="7520"/>
            <a:stretch>
              <a:fillRect/>
            </a:stretch>
          </xdr:blipFill>
          <xdr:spPr bwMode="auto">
            <a:xfrm>
              <a:off x="5191125" y="981075"/>
              <a:ext cx="800100" cy="6286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3</xdr:row>
      <xdr:rowOff>19050</xdr:rowOff>
    </xdr:from>
    <xdr:to>
      <xdr:col>10</xdr:col>
      <xdr:colOff>647700</xdr:colOff>
      <xdr:row>16</xdr:row>
      <xdr:rowOff>200025</xdr:rowOff>
    </xdr:to>
    <xdr:graphicFrame macro="">
      <xdr:nvGraphicFramePr>
        <xdr:cNvPr id="72710" name="Chart 1">
          <a:extLst>
            <a:ext uri="{FF2B5EF4-FFF2-40B4-BE49-F238E27FC236}">
              <a16:creationId xmlns:a16="http://schemas.microsoft.com/office/drawing/2014/main" id="{E6D66101-D1DE-C525-A6B7-4165653E9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781050</xdr:colOff>
      <xdr:row>0</xdr:row>
      <xdr:rowOff>228600</xdr:rowOff>
    </xdr:from>
    <xdr:to>
      <xdr:col>10</xdr:col>
      <xdr:colOff>581025</xdr:colOff>
      <xdr:row>14</xdr:row>
      <xdr:rowOff>114300</xdr:rowOff>
    </xdr:to>
    <xdr:graphicFrame macro="">
      <xdr:nvGraphicFramePr>
        <xdr:cNvPr id="73734" name="Chart 1">
          <a:extLst>
            <a:ext uri="{FF2B5EF4-FFF2-40B4-BE49-F238E27FC236}">
              <a16:creationId xmlns:a16="http://schemas.microsoft.com/office/drawing/2014/main" id="{13554F2F-A16F-8B38-332C-661949CF7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9287A5E-E3AD-6F66-1998-FB97D7B66D10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4</xdr:col>
      <xdr:colOff>40180</xdr:colOff>
      <xdr:row>0</xdr:row>
      <xdr:rowOff>0</xdr:rowOff>
    </xdr:from>
    <xdr:ext cx="5086970" cy="89639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19CA7D7-5837-2650-C4A5-EBF6C7C56D19}"/>
            </a:ext>
          </a:extLst>
        </xdr:cNvPr>
        <xdr:cNvSpPr/>
      </xdr:nvSpPr>
      <xdr:spPr>
        <a:xfrm>
          <a:off x="3545380" y="0"/>
          <a:ext cx="5086970" cy="89639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CNC </a:t>
          </a:r>
          <a:r>
            <a:rPr lang="en-US" sz="54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Dashboard</a:t>
          </a:r>
          <a:endParaRPr lang="en-US" sz="54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>
    <xdr:from>
      <xdr:col>15</xdr:col>
      <xdr:colOff>9525</xdr:colOff>
      <xdr:row>0</xdr:row>
      <xdr:rowOff>0</xdr:rowOff>
    </xdr:from>
    <xdr:to>
      <xdr:col>17</xdr:col>
      <xdr:colOff>19050</xdr:colOff>
      <xdr:row>4</xdr:row>
      <xdr:rowOff>66675</xdr:rowOff>
    </xdr:to>
    <xdr:pic>
      <xdr:nvPicPr>
        <xdr:cNvPr id="79923" name="3D Model 3" descr="Rampaging T-Rex">
          <a:extLst>
            <a:ext uri="{FF2B5EF4-FFF2-40B4-BE49-F238E27FC236}">
              <a16:creationId xmlns:a16="http://schemas.microsoft.com/office/drawing/2014/main" id="{28858102-E777-96A3-B5A0-E11F5F294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34925" y="0"/>
          <a:ext cx="16859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390525</xdr:colOff>
      <xdr:row>0</xdr:row>
      <xdr:rowOff>0</xdr:rowOff>
    </xdr:from>
    <xdr:to>
      <xdr:col>14</xdr:col>
      <xdr:colOff>314325</xdr:colOff>
      <xdr:row>4</xdr:row>
      <xdr:rowOff>152400</xdr:rowOff>
    </xdr:to>
    <xdr:pic>
      <xdr:nvPicPr>
        <xdr:cNvPr id="79924" name="3D Model 6" descr="Gray rhino">
          <a:extLst>
            <a:ext uri="{FF2B5EF4-FFF2-40B4-BE49-F238E27FC236}">
              <a16:creationId xmlns:a16="http://schemas.microsoft.com/office/drawing/2014/main" id="{3A2CCC76-45E5-29F3-E1FD-7E33CF132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1325" y="0"/>
          <a:ext cx="16002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447675</xdr:colOff>
      <xdr:row>0</xdr:row>
      <xdr:rowOff>123825</xdr:rowOff>
    </xdr:from>
    <xdr:to>
      <xdr:col>14</xdr:col>
      <xdr:colOff>723900</xdr:colOff>
      <xdr:row>3</xdr:row>
      <xdr:rowOff>133350</xdr:rowOff>
    </xdr:to>
    <xdr:pic>
      <xdr:nvPicPr>
        <xdr:cNvPr id="79925" name="3D Model 7" descr="Exploding cheeseburger">
          <a:extLst>
            <a:ext uri="{FF2B5EF4-FFF2-40B4-BE49-F238E27FC236}">
              <a16:creationId xmlns:a16="http://schemas.microsoft.com/office/drawing/2014/main" id="{D20A2C24-7BB4-5F1B-0514-00290E46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34875" y="123825"/>
          <a:ext cx="2762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685800</xdr:colOff>
      <xdr:row>29</xdr:row>
      <xdr:rowOff>85725</xdr:rowOff>
    </xdr:from>
    <xdr:to>
      <xdr:col>10</xdr:col>
      <xdr:colOff>485775</xdr:colOff>
      <xdr:row>42</xdr:row>
      <xdr:rowOff>200025</xdr:rowOff>
    </xdr:to>
    <xdr:graphicFrame macro="">
      <xdr:nvGraphicFramePr>
        <xdr:cNvPr id="79927" name="Chart 11">
          <a:extLst>
            <a:ext uri="{FF2B5EF4-FFF2-40B4-BE49-F238E27FC236}">
              <a16:creationId xmlns:a16="http://schemas.microsoft.com/office/drawing/2014/main" id="{7378C8F4-A2A0-15D8-B443-6BCDFED81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561975</xdr:colOff>
      <xdr:row>28</xdr:row>
      <xdr:rowOff>209550</xdr:rowOff>
    </xdr:from>
    <xdr:to>
      <xdr:col>17</xdr:col>
      <xdr:colOff>361950</xdr:colOff>
      <xdr:row>42</xdr:row>
      <xdr:rowOff>161925</xdr:rowOff>
    </xdr:to>
    <xdr:graphicFrame macro="">
      <xdr:nvGraphicFramePr>
        <xdr:cNvPr id="79928" name="Chart 12">
          <a:extLst>
            <a:ext uri="{FF2B5EF4-FFF2-40B4-BE49-F238E27FC236}">
              <a16:creationId xmlns:a16="http://schemas.microsoft.com/office/drawing/2014/main" id="{B4EEF90C-E5D4-F380-1AD2-ED3ADD1FC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D767FD7-C0EB-FA81-7754-13B07990459D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498804</xdr:colOff>
      <xdr:row>0</xdr:row>
      <xdr:rowOff>0</xdr:rowOff>
    </xdr:from>
    <xdr:ext cx="4788844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C88AFC3-53C4-495D-7AD8-CBB8989341F4}"/>
            </a:ext>
          </a:extLst>
        </xdr:cNvPr>
        <xdr:cNvSpPr/>
      </xdr:nvSpPr>
      <xdr:spPr>
        <a:xfrm>
          <a:off x="1298904" y="0"/>
          <a:ext cx="4798365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Abcd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0944" name="Graphic 6" descr="Badminton outline">
          <a:extLst>
            <a:ext uri="{FF2B5EF4-FFF2-40B4-BE49-F238E27FC236}">
              <a16:creationId xmlns:a16="http://schemas.microsoft.com/office/drawing/2014/main" id="{916CCE7F-3619-7AC6-5553-5F0989001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ACDA188-8B83-92C1-FD67-CCFFA6A0CECA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CB72FC1-D9CB-5046-06B0-28BA256E11AC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CE17539-C98C-CC14-52BC-4AC3AF0B3D66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CD4DFAB-BAEB-92A0-A1F5-16D662455F70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BDDDFF1-179F-9E7B-36B5-643373F5923B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39BF4F8-7E7C-659D-726B-9989D5BFA265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A3CB601-9158-BE8C-2C07-8786C2B21BF6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  <a:gradFill>
          <a:gsLst>
            <a:gs pos="61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  <a:lin ang="5400000" scaled="0"/>
        </a:gra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712067</xdr:colOff>
      <xdr:row>0</xdr:row>
      <xdr:rowOff>0</xdr:rowOff>
    </xdr:from>
    <xdr:ext cx="4362313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645C50C-723B-DAB8-0692-290FB59A3CFE}"/>
            </a:ext>
          </a:extLst>
        </xdr:cNvPr>
        <xdr:cNvSpPr/>
      </xdr:nvSpPr>
      <xdr:spPr>
        <a:xfrm>
          <a:off x="1512167" y="0"/>
          <a:ext cx="4371838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xyz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1968" name="Graphic 3" descr="Badminton outline">
          <a:extLst>
            <a:ext uri="{FF2B5EF4-FFF2-40B4-BE49-F238E27FC236}">
              <a16:creationId xmlns:a16="http://schemas.microsoft.com/office/drawing/2014/main" id="{FA0DD56F-F7F8-8042-E345-4A52EA633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5A87C86-8A06-9789-F47B-A64B23A541C2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F8E5FE-D8DB-5ED8-88A1-43F606C4A9DA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9C34AD5-13AF-8EF9-2AB3-61E936B991A0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8F9D9C9-FBBE-3310-E0D0-AD069B88F0EE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0BB2DD9-0EB6-C446-FC20-CDD3F170C388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44AA580-71C5-FAAE-5932-7ED49C8E2EF4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2950" name="Chart 1" descr="Chart type: Line. 'Salary' has an outlier at 'Hiredate': 12-Dec-84.&#10;&#10;Description automatically generated">
          <a:extLst>
            <a:ext uri="{FF2B5EF4-FFF2-40B4-BE49-F238E27FC236}">
              <a16:creationId xmlns:a16="http://schemas.microsoft.com/office/drawing/2014/main" id="{DA73CB9D-BDD3-BB4E-55C2-18DD25FF9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3974" name="Chart 1" descr="Chart type: Clustered Bar. 'Dept': Director has noticeably higher 'Salary'.&#10;&#10;Description automatically generated">
          <a:extLst>
            <a:ext uri="{FF2B5EF4-FFF2-40B4-BE49-F238E27FC236}">
              <a16:creationId xmlns:a16="http://schemas.microsoft.com/office/drawing/2014/main" id="{40BBA48F-7EB3-EF55-C268-C7DE1D2B3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5003" name="Chart 1" descr="Chart type: Line. For 'Dept: R&amp;D', 'Salary' has outliers at 'Hiredate': 19-Mar-95 and 07-Jul-97.&#10;&#10;Description automatically generated">
          <a:extLst>
            <a:ext uri="{FF2B5EF4-FFF2-40B4-BE49-F238E27FC236}">
              <a16:creationId xmlns:a16="http://schemas.microsoft.com/office/drawing/2014/main" id="{A66F999B-19C5-E580-54D9-5484A424C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6027" name="Chart 1" descr="Chart type: Clustered Bar. For 'Last Name: Desai', 'Region': south has noticeably higher 'Salary'.&#10;&#10;Description automatically generated">
          <a:extLst>
            <a:ext uri="{FF2B5EF4-FFF2-40B4-BE49-F238E27FC236}">
              <a16:creationId xmlns:a16="http://schemas.microsoft.com/office/drawing/2014/main" id="{FF6812B5-E50E-3204-1BA0-AE43575AE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7051" name="Chart 1" descr="Chart type: Line. For 'Dept: CCD', 'Salary' has outliers at 'Hiredate': 07-Jul-97 and 15-Jan-98.&#10;&#10;Description automatically generated">
          <a:extLst>
            <a:ext uri="{FF2B5EF4-FFF2-40B4-BE49-F238E27FC236}">
              <a16:creationId xmlns:a16="http://schemas.microsoft.com/office/drawing/2014/main" id="{9E3ACF91-F3E1-F80F-5819-EEBACD0EF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8075" name="Chart 1" descr="Chart type: Clustered Bar. For 'Last Name: Desai', 'Empcode': 14 has noticeably higher 'Salary'.&#10;&#10;Description automatically generated">
          <a:extLst>
            <a:ext uri="{FF2B5EF4-FFF2-40B4-BE49-F238E27FC236}">
              <a16:creationId xmlns:a16="http://schemas.microsoft.com/office/drawing/2014/main" id="{9C438657-1459-1130-6797-5F0E8C6F2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9099" name="Chart 1" descr="Chart type: Stacked Bar. For 'Last Name: Shah', 'Empcode': 66 and 77 have noticeably higher 'Salary'.&#10;&#10;Description automatically generated">
          <a:extLst>
            <a:ext uri="{FF2B5EF4-FFF2-40B4-BE49-F238E27FC236}">
              <a16:creationId xmlns:a16="http://schemas.microsoft.com/office/drawing/2014/main" id="{79D1089D-C013-D5A1-3DC4-9810857F9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0123" name="Chart 1" descr="Chart type: Clustered Bar. For 'Last Name: Desai', 'Branch': cochin has noticeably higher 'Salary'.&#10;&#10;Description automatically generated">
          <a:extLst>
            <a:ext uri="{FF2B5EF4-FFF2-40B4-BE49-F238E27FC236}">
              <a16:creationId xmlns:a16="http://schemas.microsoft.com/office/drawing/2014/main" id="{EC7F722B-E544-13EC-2883-3D928D2A1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1147" name="Chart 1" descr="Chart type: Line. For 'Last Name: Sharma', Salary decreases over time.&#10;&#10;Description automatically generated">
          <a:extLst>
            <a:ext uri="{FF2B5EF4-FFF2-40B4-BE49-F238E27FC236}">
              <a16:creationId xmlns:a16="http://schemas.microsoft.com/office/drawing/2014/main" id="{23C22FBD-3C34-D33D-BF2D-2B91868781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0</xdr:rowOff>
    </xdr:from>
    <xdr:to>
      <xdr:col>19</xdr:col>
      <xdr:colOff>571500</xdr:colOff>
      <xdr:row>15</xdr:row>
      <xdr:rowOff>0</xdr:rowOff>
    </xdr:to>
    <xdr:graphicFrame macro="">
      <xdr:nvGraphicFramePr>
        <xdr:cNvPr id="92166" name="Chart 1" descr="Chart type: Clustered Bar. 'Salary' by 'Dept' and 'Branch'&#10;&#10;Description automatically generated">
          <a:extLst>
            <a:ext uri="{FF2B5EF4-FFF2-40B4-BE49-F238E27FC236}">
              <a16:creationId xmlns:a16="http://schemas.microsoft.com/office/drawing/2014/main" id="{F6D58684-73F9-53BB-65D4-17F3D4F97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463444907407" createdVersion="4" refreshedVersion="4" minRefreshableVersion="3" recordCount="42" xr:uid="{06394F97-7174-4535-AA49-317DA4BC180F}">
  <cacheSource type="worksheet">
    <worksheetSource ref="C7:L49" sheet="75 PIVOT"/>
  </cacheSource>
  <cacheFields count="10">
    <cacheField name="Last Name" numFmtId="0">
      <sharedItems/>
    </cacheField>
    <cacheField name="First Name" numFmtId="0">
      <sharedItems/>
    </cacheField>
    <cacheField name="Department" numFmtId="0">
      <sharedItems count="7">
        <s v="Marketing"/>
        <s v="IT"/>
        <s v="Sales"/>
        <s v="Graphics"/>
        <s v="HR"/>
        <s v="Executive"/>
        <s v="Finance"/>
      </sharedItems>
    </cacheField>
    <cacheField name="State" numFmtId="0">
      <sharedItems/>
    </cacheField>
    <cacheField name="Hours" numFmtId="0">
      <sharedItems containsSemiMixedTypes="0" containsString="0" containsNumber="1" minValue="10.199999999999999" maxValue="97.2"/>
    </cacheField>
    <cacheField name="Rate" numFmtId="0">
      <sharedItems containsSemiMixedTypes="0" containsString="0" containsNumber="1" minValue="11.51" maxValue="83.65"/>
    </cacheField>
    <cacheField name="Wage" numFmtId="0">
      <sharedItems containsSemiMixedTypes="0" containsString="0" containsNumber="1" minValue="159.19200000000001" maxValue="4829.4648000000007"/>
    </cacheField>
    <cacheField name="Location" numFmtId="0">
      <sharedItems/>
    </cacheField>
    <cacheField name="Trained?" numFmtId="0">
      <sharedItems/>
    </cacheField>
    <cacheField name="Seat Pref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594697569446" createdVersion="4" refreshedVersion="4" minRefreshableVersion="3" recordCount="100" xr:uid="{E293A969-7028-4512-A158-6EDF5E99836F}">
  <cacheSource type="worksheet">
    <worksheetSource ref="A1:H101" sheet="Main Data"/>
  </cacheSource>
  <cacheFields count="8">
    <cacheField name="Empcode" numFmtId="0">
      <sharedItems containsSemiMixedTypes="0" containsString="0" containsNumber="1" containsInteger="1" minValue="1" maxValue="101" count="100">
        <n v="1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</sharedItems>
    </cacheField>
    <cacheField name="First Name" numFmtId="0">
      <sharedItems/>
    </cacheField>
    <cacheField name="Last Name" numFmtId="0">
      <sharedItems count="77">
        <s v="Raymondekar"/>
        <s v="Sharma"/>
        <s v="Mavadia"/>
        <s v="Ranganathan"/>
        <s v="D'Souza"/>
        <s v="Jain"/>
        <s v="Mukherjee"/>
        <s v="Sutradhar"/>
        <s v="Fernendes"/>
        <s v="Madhrani"/>
        <s v="Lele"/>
        <s v="Lalwani"/>
        <s v="Desai"/>
        <s v="Narayanan"/>
        <s v="Shirodkar"/>
        <s v="Trivedi"/>
        <s v="Dixit"/>
        <s v="Khanna"/>
        <s v="Sadiq"/>
        <s v="Sasan"/>
        <s v="Panchal"/>
        <s v="Sheikh"/>
        <s v="Nimkar"/>
        <s v="Khurana"/>
        <s v="Shetty"/>
        <s v="Malik"/>
        <s v="Bhaduri"/>
        <s v="Hoonjan"/>
        <s v="Qureshi"/>
        <s v="Gupta"/>
        <s v="Joshi"/>
        <s v="Ghoshal"/>
        <s v="Vora"/>
        <s v="Khetan"/>
        <s v="Parikh"/>
        <s v="Pednekar"/>
        <s v="Dodhia"/>
        <s v="Raje"/>
        <s v="Sardesai"/>
        <s v="Gokhale"/>
        <s v="Surti"/>
        <s v="Khan"/>
        <s v="Mehta"/>
        <s v="Baig"/>
        <s v="Kumar"/>
        <s v="Fernandes"/>
        <s v="Godbole"/>
        <s v="Sheth"/>
        <s v="Virsinghani"/>
        <s v="Rao"/>
        <s v="Joglekar"/>
        <s v="Parmar"/>
        <s v="Darekar"/>
        <s v="Zha"/>
        <s v="Patil"/>
        <s v="Shah"/>
        <s v="Naik"/>
        <s v="Godse"/>
        <s v="Shenoy"/>
        <s v="Pandhya"/>
        <s v="Saksena"/>
        <s v="Chhaya"/>
        <s v="Bidkar"/>
        <s v="Gandhi"/>
        <s v="Phule"/>
        <s v="Shirishkar"/>
        <s v="Robert"/>
        <s v="Joseph"/>
        <s v="Tripathi"/>
        <s v="Shrivastava"/>
        <s v="Patel"/>
        <s v="Digaria"/>
        <s v="Singhani"/>
        <s v="Kulkarni"/>
        <s v="Raut"/>
        <s v="Dalvi"/>
        <s v="Sawant"/>
      </sharedItems>
    </cacheField>
    <cacheField name="Dept" numFmtId="0">
      <sharedItems count="9">
        <s v="Sales"/>
        <s v="Admin"/>
        <s v="Mktg"/>
        <s v="R&amp;D"/>
        <s v="Personnel"/>
        <s v="Finance"/>
        <s v="Director"/>
        <s v="CCD"/>
        <s v="mkt"/>
      </sharedItems>
    </cacheField>
    <cacheField name="Region" numFmtId="0">
      <sharedItems count="4">
        <s v="north"/>
        <s v="south"/>
        <s v="west"/>
        <s v="East"/>
      </sharedItems>
    </cacheField>
    <cacheField name="Branch" numFmtId="0">
      <sharedItems count="30">
        <s v="Ferozepur"/>
        <s v="Hydrabad"/>
        <s v="Delhi"/>
        <s v="Kanpur"/>
        <s v="Mathura"/>
        <s v="Pune"/>
        <s v="Agra"/>
        <s v="Ambala"/>
        <s v="Darjeeling"/>
        <s v="Jammu"/>
        <s v="Calcutta"/>
        <s v="cochin"/>
        <s v="Jaipur"/>
        <s v="Cuttack"/>
        <s v="Nasik"/>
        <s v="Patna"/>
        <s v="Manglore"/>
        <s v="Banglore"/>
        <s v="Mumbai"/>
        <s v="Lucknow"/>
        <s v="Surat"/>
        <s v="Mysore"/>
        <s v="Aligarh"/>
        <s v="Baroda"/>
        <s v="Nagpur"/>
        <s v="Gangtok"/>
        <s v="Guwahati"/>
        <s v="chennai"/>
        <s v="Trivanadrum"/>
        <s v="Panji"/>
      </sharedItems>
    </cacheField>
    <cacheField name="Hiredate" numFmtId="0">
      <sharedItems containsSemiMixedTypes="0" containsNonDate="0" containsDate="1" containsString="0" minDate="1977-01-01T00:00:00" maxDate="1999-12-13T00:00:00" count="75">
        <d v="1977-01-01T00:00:00"/>
        <d v="1999-03-01T00:00:00"/>
        <d v="1979-11-24T00:00:00"/>
        <d v="1989-09-04T00:00:00"/>
        <d v="1988-09-04T00:00:00"/>
        <d v="1990-08-17T00:00:00"/>
        <d v="1999-12-12T00:00:00"/>
        <d v="1977-07-20T00:00:00"/>
        <d v="1985-12-21T00:00:00"/>
        <d v="1983-03-01T00:00:00"/>
        <d v="1984-12-11T00:00:00"/>
        <d v="1984-12-12T00:00:00"/>
        <d v="1984-12-13T00:00:00"/>
        <d v="1984-12-14T00:00:00"/>
        <d v="1986-08-13T00:00:00"/>
        <d v="1999-06-05T00:00:00"/>
        <d v="1999-06-06T00:00:00"/>
        <d v="1999-06-07T00:00:00"/>
        <d v="1999-06-08T00:00:00"/>
        <d v="1980-05-21T00:00:00"/>
        <d v="1999-04-24T00:00:00"/>
        <d v="1982-10-01T00:00:00"/>
        <d v="1992-07-02T00:00:00"/>
        <d v="1995-03-19T00:00:00"/>
        <d v="1996-05-04T00:00:00"/>
        <d v="1988-10-19T00:00:00"/>
        <d v="1997-07-07T00:00:00"/>
        <d v="1991-09-29T00:00:00"/>
        <d v="1992-05-05T00:00:00"/>
        <d v="1994-09-03T00:00:00"/>
        <d v="1997-06-14T00:00:00"/>
        <d v="1990-11-17T00:00:00"/>
        <d v="1988-02-07T00:00:00"/>
        <d v="1988-10-20T00:00:00"/>
        <d v="1988-10-21T00:00:00"/>
        <d v="1995-12-01T00:00:00"/>
        <d v="1995-03-03T00:00:00"/>
        <d v="1986-11-01T00:00:00"/>
        <d v="1992-10-01T00:00:00"/>
        <d v="1993-05-09T00:00:00"/>
        <d v="1990-11-05T00:00:00"/>
        <d v="1987-01-14T00:00:00"/>
        <d v="1987-11-24T00:00:00"/>
        <d v="1987-11-25T00:00:00"/>
        <d v="1987-11-26T00:00:00"/>
        <d v="1988-10-24T00:00:00"/>
        <d v="1988-10-25T00:00:00"/>
        <d v="1988-10-26T00:00:00"/>
        <d v="1988-10-27T00:00:00"/>
        <d v="1988-10-28T00:00:00"/>
        <d v="1995-03-04T00:00:00"/>
        <d v="1995-03-05T00:00:00"/>
        <d v="1988-10-22T00:00:00"/>
        <d v="1988-10-23T00:00:00"/>
        <d v="1988-10-29T00:00:00"/>
        <d v="1988-10-30T00:00:00"/>
        <d v="1988-10-31T00:00:00"/>
        <d v="1988-11-01T00:00:00"/>
        <d v="1999-03-02T00:00:00"/>
        <d v="1999-03-03T00:00:00"/>
        <d v="1998-01-14T00:00:00"/>
        <d v="1998-01-15T00:00:00"/>
        <d v="1998-01-16T00:00:00"/>
        <d v="1997-12-30T00:00:00"/>
        <d v="1979-02-21T00:00:00"/>
        <d v="1980-01-06T00:00:00"/>
        <d v="1979-11-13T00:00:00"/>
        <d v="1989-04-05T00:00:00"/>
        <d v="1989-04-06T00:00:00"/>
        <d v="1989-04-07T00:00:00"/>
        <d v="1989-04-08T00:00:00"/>
        <d v="1989-04-09T00:00:00"/>
        <d v="1989-04-10T00:00:00"/>
        <d v="1989-04-11T00:00:00"/>
        <d v="1999-02-02T00:00:00"/>
      </sharedItems>
    </cacheField>
    <cacheField name="Salary" numFmtId="0">
      <sharedItems containsSemiMixedTypes="0" containsString="0" containsNumber="1" containsInteger="1" minValue="5950" maxValue="4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Abrams"/>
    <s v="Andrea"/>
    <x v="0"/>
    <s v="NY"/>
    <n v="80.099999999999994"/>
    <n v="44.62"/>
    <n v="3574.0619999999994"/>
    <s v="Mobile"/>
    <s v="No"/>
    <s v="Aisle"/>
  </r>
  <r>
    <s v="Dugan"/>
    <s v="Aparna"/>
    <x v="1"/>
    <s v="PA"/>
    <n v="82.4"/>
    <n v="24.54"/>
    <n v="2022.096"/>
    <s v="Mobile"/>
    <s v="No"/>
    <s v="Aisle"/>
  </r>
  <r>
    <s v="Minzner"/>
    <s v="Brian"/>
    <x v="2"/>
    <s v="NY"/>
    <n v="39.9"/>
    <n v="41.66"/>
    <n v="1662.2339999999997"/>
    <s v="Office"/>
    <s v="Yes"/>
    <s v="Aisle"/>
  </r>
  <r>
    <s v="Marone"/>
    <s v="Brooke"/>
    <x v="2"/>
    <s v="VT"/>
    <n v="32.4"/>
    <n v="14.37"/>
    <n v="465.58799999999997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Buckleitner"/>
    <s v="Carly"/>
    <x v="4"/>
    <s v="PA"/>
    <n v="16.2"/>
    <n v="33.04"/>
    <n v="535.24799999999993"/>
    <s v="Mobile"/>
    <s v="No"/>
    <s v="Window"/>
  </r>
  <r>
    <s v="More"/>
    <s v="Carol"/>
    <x v="5"/>
    <s v="NJ"/>
    <n v="40"/>
    <n v="17.88"/>
    <n v="715.19999999999993"/>
    <s v="Office"/>
    <s v="Yes"/>
    <s v="Aisle"/>
  </r>
  <r>
    <s v="Birman"/>
    <s v="Carol"/>
    <x v="6"/>
    <s v="NY"/>
    <n v="33.200000000000003"/>
    <n v="24.05"/>
    <n v="798.46"/>
    <s v="Mobile"/>
    <s v="No"/>
    <s v="Aisle"/>
  </r>
  <r>
    <s v="Fitts"/>
    <s v="Christine"/>
    <x v="1"/>
    <s v="VT"/>
    <n v="87.6"/>
    <n v="23"/>
    <n v="2014.8"/>
    <s v="Office"/>
    <s v="No"/>
    <s v="Aisle"/>
  </r>
  <r>
    <s v="Jorgensen"/>
    <s v="Daniel"/>
    <x v="2"/>
    <s v="NJ"/>
    <n v="95"/>
    <n v="48.63"/>
    <n v="4619.8500000000004"/>
    <s v="Mobile"/>
    <s v="No"/>
    <s v="Window"/>
  </r>
  <r>
    <s v="Jorgensen"/>
    <s v="Daniel"/>
    <x v="2"/>
    <s v="NJ"/>
    <n v="95"/>
    <n v="48.63"/>
    <n v="4619.8500000000004"/>
    <s v="Mobile"/>
    <s v="No"/>
    <s v="Window"/>
  </r>
  <r>
    <s v="Coules"/>
    <s v="Duke"/>
    <x v="2"/>
    <s v="CA"/>
    <n v="78.400000000000006"/>
    <n v="44.98"/>
    <n v="3526.4319999999998"/>
    <s v="Office"/>
    <s v="No"/>
    <s v="Window"/>
  </r>
  <r>
    <s v="Stryker"/>
    <s v="Fred"/>
    <x v="2"/>
    <s v="CT"/>
    <n v="10.199999999999999"/>
    <n v="23.74"/>
    <n v="242.14799999999997"/>
    <s v="Mobile"/>
    <s v="Yes"/>
    <s v="Aisle"/>
  </r>
  <r>
    <s v="Sipes"/>
    <s v="James"/>
    <x v="3"/>
    <s v="NJ"/>
    <n v="13.2"/>
    <n v="12.06"/>
    <n v="159.19200000000001"/>
    <s v="Mobile"/>
    <s v="Yes"/>
    <s v="Window"/>
  </r>
  <r>
    <s v="Picker"/>
    <s v="James"/>
    <x v="1"/>
    <s v="NY"/>
    <n v="70.599999999999994"/>
    <n v="20.84"/>
    <n v="1471.3039999999999"/>
    <s v="Mobile"/>
    <s v="Yes"/>
    <s v="Aisle"/>
  </r>
  <r>
    <s v="Meacham"/>
    <s v="Jeremy"/>
    <x v="5"/>
    <s v="PA"/>
    <n v="26.6"/>
    <n v="15.99"/>
    <n v="425.334"/>
    <s v="Office"/>
    <s v="Yes"/>
    <s v="Window"/>
  </r>
  <r>
    <s v="Petsch"/>
    <s v="Joseph"/>
    <x v="3"/>
    <s v="CT"/>
    <n v="80.400000000000006"/>
    <n v="16.53"/>
    <n v="1329.0120000000002"/>
    <s v="Office"/>
    <s v="No"/>
    <s v="Aisle"/>
  </r>
  <r>
    <s v="Rampulla"/>
    <s v="Judith"/>
    <x v="1"/>
    <s v="CA"/>
    <n v="46.4"/>
    <n v="40.799999999999997"/>
    <n v="1893.12"/>
    <s v="Office"/>
    <s v="Yes"/>
    <s v="Window"/>
  </r>
  <r>
    <s v="Rampulla"/>
    <s v="Judith"/>
    <x v="1"/>
    <s v="CA"/>
    <n v="46.4"/>
    <n v="39.799999999999997"/>
    <n v="1846.7199999999998"/>
    <s v="Office"/>
    <s v="Yes"/>
    <s v="Window"/>
  </r>
  <r>
    <s v="Rampulla"/>
    <s v="Judith"/>
    <x v="1"/>
    <s v="CA"/>
    <n v="46.4"/>
    <n v="38.799999999999997"/>
    <n v="1800.3199999999997"/>
    <s v="Office"/>
    <s v="Yes"/>
    <s v="Window"/>
  </r>
  <r>
    <s v="Novick"/>
    <s v="Kenneth"/>
    <x v="3"/>
    <s v="NJ"/>
    <n v="78.5"/>
    <n v="28.73"/>
    <n v="2255.3049999999998"/>
    <s v="Mobile"/>
    <s v="Yes"/>
    <s v="Aisle"/>
  </r>
  <r>
    <s v="Leung"/>
    <s v="Kerry"/>
    <x v="0"/>
    <s v="CA"/>
    <n v="59.1"/>
    <n v="34.83"/>
    <n v="2058.453"/>
    <s v="Office"/>
    <s v="No"/>
    <s v="Window"/>
  </r>
  <r>
    <s v="Marciano"/>
    <s v="Kim"/>
    <x v="0"/>
    <s v="CT"/>
    <n v="22.5"/>
    <n v="11.51"/>
    <n v="258.97500000000002"/>
    <s v="Mobile"/>
    <s v="Yes"/>
    <s v="Window"/>
  </r>
  <r>
    <s v="Deshpande"/>
    <s v="Krishna"/>
    <x v="5"/>
    <s v="VT"/>
    <n v="15.1"/>
    <n v="45.09"/>
    <n v="680.85900000000004"/>
    <s v="Mobile"/>
    <s v="No"/>
    <s v="Window"/>
  </r>
  <r>
    <s v="Philips"/>
    <s v="Laura"/>
    <x v="4"/>
    <s v="IL"/>
    <n v="52.36"/>
    <n v="64.37"/>
    <n v="3370.4132000000004"/>
    <s v="Mobile"/>
    <s v="Yes"/>
    <s v="Aisle"/>
  </r>
  <r>
    <s v="Lowenfeld"/>
    <s v="Leanne"/>
    <x v="0"/>
    <s v="VT"/>
    <n v="97.2"/>
    <n v="30.3"/>
    <n v="2945.1600000000003"/>
    <s v="Mobile"/>
    <s v="No"/>
    <s v="Window"/>
  </r>
  <r>
    <s v="Lowenfeld"/>
    <s v="Leanne"/>
    <x v="0"/>
    <s v="VT"/>
    <n v="97.2"/>
    <n v="30.3"/>
    <n v="2945.1600000000003"/>
    <s v="Mobile"/>
    <s v="No"/>
    <s v="Window"/>
  </r>
  <r>
    <s v="Colvin"/>
    <s v="Lois"/>
    <x v="6"/>
    <s v="NJ"/>
    <n v="59.6"/>
    <n v="39.97"/>
    <n v="2382.212"/>
    <s v="Mobile"/>
    <s v="Yes"/>
    <s v="Aisle"/>
  </r>
  <r>
    <s v="Fitzpatrick"/>
    <s v="Louan"/>
    <x v="2"/>
    <s v="IL"/>
    <n v="64.290000000000006"/>
    <n v="75.12"/>
    <n v="4829.4648000000007"/>
    <s v="Mobile"/>
    <s v="No"/>
    <s v="Aisle"/>
  </r>
  <r>
    <s v="Rehal"/>
    <s v="Marc"/>
    <x v="4"/>
    <s v="NJ"/>
    <n v="87.3"/>
    <n v="19.68"/>
    <n v="1718.0639999999999"/>
    <s v="Office"/>
    <s v="No"/>
    <s v="Window"/>
  </r>
  <r>
    <s v="Kreanow"/>
    <s v="Marianne"/>
    <x v="4"/>
    <s v="CA"/>
    <n v="11.9"/>
    <n v="32.14"/>
    <n v="382.46600000000001"/>
    <s v="Mobile"/>
    <s v="Yes"/>
    <s v="Window"/>
  </r>
  <r>
    <s v="Boyle"/>
    <s v="Meg"/>
    <x v="6"/>
    <s v="PA"/>
    <n v="96.3"/>
    <n v="35.92"/>
    <n v="3459.096"/>
    <s v="Office"/>
    <s v="No"/>
    <s v="Aisle"/>
  </r>
  <r>
    <s v="Boyle"/>
    <s v="Meg"/>
    <x v="6"/>
    <s v="PA"/>
    <n v="96.3"/>
    <n v="35.92"/>
    <n v="3459.096"/>
    <s v="Office"/>
    <s v="No"/>
    <s v="Aisle"/>
  </r>
  <r>
    <s v="McGowan"/>
    <s v="Paul"/>
    <x v="0"/>
    <s v="NY"/>
    <n v="13.6"/>
    <n v="20.14"/>
    <n v="273.904"/>
    <s v="Mobile"/>
    <s v="Yes"/>
    <s v="Window"/>
  </r>
  <r>
    <s v="Wilson"/>
    <s v="Paul"/>
    <x v="2"/>
    <s v="CT"/>
    <n v="68.599999999999994"/>
    <n v="23.74"/>
    <n v="1628.5639999999999"/>
    <s v="Office"/>
    <s v="No"/>
    <s v="Aisle"/>
  </r>
  <r>
    <s v="Wilson"/>
    <s v="Paul"/>
    <x v="2"/>
    <s v="CT"/>
    <n v="68.599999999999994"/>
    <n v="23.74"/>
    <n v="1628.5639999999999"/>
    <s v="Office"/>
    <s v="No"/>
    <s v="Aisle"/>
  </r>
  <r>
    <s v="Liebowitz"/>
    <s v="Rebecca"/>
    <x v="5"/>
    <s v="CA"/>
    <n v="29.3"/>
    <n v="13.09"/>
    <n v="383.53699999999998"/>
    <s v="Mobile"/>
    <s v="No"/>
    <s v="Window"/>
  </r>
  <r>
    <s v="Cohen"/>
    <s v="Rosanne"/>
    <x v="6"/>
    <s v="NY"/>
    <n v="26.42"/>
    <n v="83.65"/>
    <n v="2210.0330000000004"/>
    <s v="Mobile"/>
    <s v="Yes"/>
    <s v="Window"/>
  </r>
  <r>
    <s v="Zarish"/>
    <s v="Shelli"/>
    <x v="2"/>
    <s v="NJ"/>
    <n v="23.2"/>
    <n v="45.11"/>
    <n v="1046.5519999999999"/>
    <s v="Office"/>
    <s v="Yes"/>
    <s v="Aisle"/>
  </r>
  <r>
    <s v="Richardson"/>
    <s v="Warren"/>
    <x v="2"/>
    <s v="CA"/>
    <n v="62.9"/>
    <n v="47.9"/>
    <n v="3012.91"/>
    <s v="Mobile"/>
    <s v="Yes"/>
    <s v="Window"/>
  </r>
  <r>
    <s v="DeTorres"/>
    <s v="Wendy"/>
    <x v="6"/>
    <s v="CA"/>
    <n v="85.3"/>
    <n v="24.14"/>
    <n v="2059.1419999999998"/>
    <s v="Mobile"/>
    <s v="Yes"/>
    <s v="Aisl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Raja"/>
    <x v="0"/>
    <x v="0"/>
    <x v="0"/>
    <x v="0"/>
    <x v="0"/>
    <n v="21875"/>
  </r>
  <r>
    <x v="1"/>
    <s v="Kuldeep"/>
    <x v="1"/>
    <x v="1"/>
    <x v="1"/>
    <x v="1"/>
    <x v="1"/>
    <n v="7000"/>
  </r>
  <r>
    <x v="2"/>
    <s v="Beena"/>
    <x v="2"/>
    <x v="2"/>
    <x v="0"/>
    <x v="2"/>
    <x v="2"/>
    <n v="12250"/>
  </r>
  <r>
    <x v="3"/>
    <s v="Seema"/>
    <x v="3"/>
    <x v="3"/>
    <x v="0"/>
    <x v="3"/>
    <x v="3"/>
    <n v="21000"/>
  </r>
  <r>
    <x v="4"/>
    <s v="Julie"/>
    <x v="4"/>
    <x v="1"/>
    <x v="0"/>
    <x v="4"/>
    <x v="4"/>
    <n v="12425"/>
  </r>
  <r>
    <x v="5"/>
    <s v="Deepak"/>
    <x v="5"/>
    <x v="4"/>
    <x v="2"/>
    <x v="5"/>
    <x v="5"/>
    <n v="12425"/>
  </r>
  <r>
    <x v="6"/>
    <s v="Neena"/>
    <x v="6"/>
    <x v="3"/>
    <x v="0"/>
    <x v="6"/>
    <x v="3"/>
    <n v="12425"/>
  </r>
  <r>
    <x v="7"/>
    <s v="Pankaj"/>
    <x v="7"/>
    <x v="0"/>
    <x v="0"/>
    <x v="7"/>
    <x v="6"/>
    <n v="14875"/>
  </r>
  <r>
    <x v="8"/>
    <s v="Andre"/>
    <x v="8"/>
    <x v="2"/>
    <x v="3"/>
    <x v="8"/>
    <x v="7"/>
    <n v="15750"/>
  </r>
  <r>
    <x v="9"/>
    <s v="Sujay"/>
    <x v="9"/>
    <x v="5"/>
    <x v="2"/>
    <x v="5"/>
    <x v="8"/>
    <n v="14875"/>
  </r>
  <r>
    <x v="10"/>
    <s v="Shilpa"/>
    <x v="10"/>
    <x v="1"/>
    <x v="0"/>
    <x v="9"/>
    <x v="9"/>
    <n v="21000"/>
  </r>
  <r>
    <x v="11"/>
    <s v="Meera"/>
    <x v="11"/>
    <x v="5"/>
    <x v="3"/>
    <x v="10"/>
    <x v="10"/>
    <n v="19250"/>
  </r>
  <r>
    <x v="12"/>
    <s v="Sheetal"/>
    <x v="12"/>
    <x v="6"/>
    <x v="1"/>
    <x v="11"/>
    <x v="11"/>
    <n v="49000"/>
  </r>
  <r>
    <x v="13"/>
    <s v="K. Sita"/>
    <x v="13"/>
    <x v="4"/>
    <x v="0"/>
    <x v="9"/>
    <x v="12"/>
    <n v="14875"/>
  </r>
  <r>
    <x v="14"/>
    <s v="Priya"/>
    <x v="14"/>
    <x v="4"/>
    <x v="0"/>
    <x v="12"/>
    <x v="13"/>
    <n v="14875"/>
  </r>
  <r>
    <x v="15"/>
    <s v="aalok"/>
    <x v="15"/>
    <x v="1"/>
    <x v="3"/>
    <x v="13"/>
    <x v="9"/>
    <n v="15750"/>
  </r>
  <r>
    <x v="16"/>
    <s v="Aakash"/>
    <x v="16"/>
    <x v="1"/>
    <x v="2"/>
    <x v="14"/>
    <x v="9"/>
    <n v="15750"/>
  </r>
  <r>
    <x v="17"/>
    <s v="Parvati"/>
    <x v="17"/>
    <x v="2"/>
    <x v="0"/>
    <x v="4"/>
    <x v="14"/>
    <n v="10500"/>
  </r>
  <r>
    <x v="18"/>
    <s v="Farhan"/>
    <x v="18"/>
    <x v="2"/>
    <x v="0"/>
    <x v="12"/>
    <x v="15"/>
    <n v="5950"/>
  </r>
  <r>
    <x v="19"/>
    <s v="Satinder Kaur"/>
    <x v="19"/>
    <x v="2"/>
    <x v="3"/>
    <x v="15"/>
    <x v="16"/>
    <n v="7875"/>
  </r>
  <r>
    <x v="20"/>
    <s v="Suchita"/>
    <x v="20"/>
    <x v="2"/>
    <x v="2"/>
    <x v="14"/>
    <x v="17"/>
    <n v="7875"/>
  </r>
  <r>
    <x v="21"/>
    <s v="Shazia"/>
    <x v="21"/>
    <x v="2"/>
    <x v="2"/>
    <x v="5"/>
    <x v="18"/>
    <n v="7875"/>
  </r>
  <r>
    <x v="22"/>
    <s v="Pooja"/>
    <x v="22"/>
    <x v="0"/>
    <x v="2"/>
    <x v="14"/>
    <x v="19"/>
    <n v="14875"/>
  </r>
  <r>
    <x v="23"/>
    <s v="Jasbinder"/>
    <x v="23"/>
    <x v="3"/>
    <x v="1"/>
    <x v="16"/>
    <x v="20"/>
    <n v="7875"/>
  </r>
  <r>
    <x v="24"/>
    <s v="Bharat"/>
    <x v="24"/>
    <x v="0"/>
    <x v="3"/>
    <x v="13"/>
    <x v="21"/>
    <n v="19250"/>
  </r>
  <r>
    <x v="25"/>
    <s v="Rishi"/>
    <x v="25"/>
    <x v="0"/>
    <x v="1"/>
    <x v="17"/>
    <x v="22"/>
    <n v="13125"/>
  </r>
  <r>
    <x v="26"/>
    <s v="Mala"/>
    <x v="26"/>
    <x v="3"/>
    <x v="2"/>
    <x v="18"/>
    <x v="23"/>
    <n v="10500"/>
  </r>
  <r>
    <x v="27"/>
    <s v="Hajra"/>
    <x v="27"/>
    <x v="1"/>
    <x v="0"/>
    <x v="12"/>
    <x v="24"/>
    <n v="9625"/>
  </r>
  <r>
    <x v="28"/>
    <s v="Aalam"/>
    <x v="28"/>
    <x v="4"/>
    <x v="3"/>
    <x v="15"/>
    <x v="25"/>
    <n v="14175"/>
  </r>
  <r>
    <x v="29"/>
    <s v="Giriraj"/>
    <x v="29"/>
    <x v="3"/>
    <x v="0"/>
    <x v="6"/>
    <x v="21"/>
    <n v="15750"/>
  </r>
  <r>
    <x v="30"/>
    <s v="Ankur"/>
    <x v="30"/>
    <x v="7"/>
    <x v="1"/>
    <x v="16"/>
    <x v="21"/>
    <n v="15750"/>
  </r>
  <r>
    <x v="31"/>
    <s v="Tapan"/>
    <x v="31"/>
    <x v="7"/>
    <x v="0"/>
    <x v="7"/>
    <x v="26"/>
    <n v="7000"/>
  </r>
  <r>
    <x v="32"/>
    <s v="Zarina"/>
    <x v="32"/>
    <x v="7"/>
    <x v="0"/>
    <x v="19"/>
    <x v="27"/>
    <n v="8750"/>
  </r>
  <r>
    <x v="33"/>
    <s v="Arun"/>
    <x v="30"/>
    <x v="2"/>
    <x v="1"/>
    <x v="16"/>
    <x v="28"/>
    <n v="9275"/>
  </r>
  <r>
    <x v="34"/>
    <s v="Pooja"/>
    <x v="33"/>
    <x v="4"/>
    <x v="2"/>
    <x v="20"/>
    <x v="29"/>
    <n v="11725"/>
  </r>
  <r>
    <x v="35"/>
    <s v="Shilpa"/>
    <x v="34"/>
    <x v="5"/>
    <x v="1"/>
    <x v="21"/>
    <x v="21"/>
    <n v="24500"/>
  </r>
  <r>
    <x v="36"/>
    <s v="Chitra"/>
    <x v="35"/>
    <x v="5"/>
    <x v="0"/>
    <x v="22"/>
    <x v="21"/>
    <n v="24500"/>
  </r>
  <r>
    <x v="37"/>
    <s v="Sheetal"/>
    <x v="36"/>
    <x v="5"/>
    <x v="0"/>
    <x v="2"/>
    <x v="21"/>
    <n v="24500"/>
  </r>
  <r>
    <x v="38"/>
    <s v="Richa"/>
    <x v="37"/>
    <x v="0"/>
    <x v="1"/>
    <x v="16"/>
    <x v="27"/>
    <n v="10500"/>
  </r>
  <r>
    <x v="39"/>
    <s v="Kirtikar"/>
    <x v="38"/>
    <x v="1"/>
    <x v="3"/>
    <x v="8"/>
    <x v="30"/>
    <n v="7875"/>
  </r>
  <r>
    <x v="40"/>
    <s v="Pooja"/>
    <x v="39"/>
    <x v="3"/>
    <x v="3"/>
    <x v="10"/>
    <x v="27"/>
    <n v="13300"/>
  </r>
  <r>
    <x v="41"/>
    <s v="Piyush"/>
    <x v="40"/>
    <x v="4"/>
    <x v="2"/>
    <x v="18"/>
    <x v="25"/>
    <n v="15750"/>
  </r>
  <r>
    <x v="42"/>
    <s v="Shaheen"/>
    <x v="41"/>
    <x v="4"/>
    <x v="3"/>
    <x v="13"/>
    <x v="31"/>
    <n v="13825"/>
  </r>
  <r>
    <x v="43"/>
    <s v="Kinnari"/>
    <x v="42"/>
    <x v="3"/>
    <x v="0"/>
    <x v="0"/>
    <x v="26"/>
    <n v="11375"/>
  </r>
  <r>
    <x v="44"/>
    <s v="Jeena"/>
    <x v="43"/>
    <x v="0"/>
    <x v="0"/>
    <x v="19"/>
    <x v="27"/>
    <n v="15750"/>
  </r>
  <r>
    <x v="45"/>
    <s v="Vicky"/>
    <x v="30"/>
    <x v="1"/>
    <x v="0"/>
    <x v="3"/>
    <x v="32"/>
    <n v="15750"/>
  </r>
  <r>
    <x v="46"/>
    <s v="Neha"/>
    <x v="30"/>
    <x v="7"/>
    <x v="2"/>
    <x v="23"/>
    <x v="25"/>
    <n v="15750"/>
  </r>
  <r>
    <x v="47"/>
    <s v="Rakesh"/>
    <x v="44"/>
    <x v="7"/>
    <x v="1"/>
    <x v="11"/>
    <x v="25"/>
    <n v="15750"/>
  </r>
  <r>
    <x v="48"/>
    <s v="Ruheal"/>
    <x v="43"/>
    <x v="4"/>
    <x v="2"/>
    <x v="23"/>
    <x v="25"/>
    <n v="15750"/>
  </r>
  <r>
    <x v="49"/>
    <s v="Mario"/>
    <x v="45"/>
    <x v="0"/>
    <x v="0"/>
    <x v="9"/>
    <x v="33"/>
    <n v="15750"/>
  </r>
  <r>
    <x v="50"/>
    <s v="Heena"/>
    <x v="46"/>
    <x v="7"/>
    <x v="0"/>
    <x v="19"/>
    <x v="34"/>
    <n v="19250"/>
  </r>
  <r>
    <x v="51"/>
    <s v="Mehul"/>
    <x v="47"/>
    <x v="7"/>
    <x v="2"/>
    <x v="24"/>
    <x v="35"/>
    <n v="15750"/>
  </r>
  <r>
    <x v="52"/>
    <s v="Vishal"/>
    <x v="48"/>
    <x v="7"/>
    <x v="3"/>
    <x v="25"/>
    <x v="36"/>
    <n v="15750"/>
  </r>
  <r>
    <x v="53"/>
    <s v="Lalita"/>
    <x v="49"/>
    <x v="7"/>
    <x v="3"/>
    <x v="26"/>
    <x v="37"/>
    <n v="15750"/>
  </r>
  <r>
    <x v="54"/>
    <s v="Kajal"/>
    <x v="50"/>
    <x v="0"/>
    <x v="2"/>
    <x v="24"/>
    <x v="38"/>
    <n v="14875"/>
  </r>
  <r>
    <x v="55"/>
    <s v="Katti"/>
    <x v="40"/>
    <x v="0"/>
    <x v="1"/>
    <x v="27"/>
    <x v="39"/>
    <n v="14875"/>
  </r>
  <r>
    <x v="56"/>
    <s v="Maya"/>
    <x v="20"/>
    <x v="2"/>
    <x v="0"/>
    <x v="6"/>
    <x v="40"/>
    <n v="17500"/>
  </r>
  <r>
    <x v="57"/>
    <s v="Disha"/>
    <x v="51"/>
    <x v="1"/>
    <x v="1"/>
    <x v="17"/>
    <x v="41"/>
    <n v="19250"/>
  </r>
  <r>
    <x v="58"/>
    <s v="Geeta"/>
    <x v="52"/>
    <x v="2"/>
    <x v="1"/>
    <x v="28"/>
    <x v="42"/>
    <n v="19250"/>
  </r>
  <r>
    <x v="59"/>
    <s v="Anuradha"/>
    <x v="53"/>
    <x v="1"/>
    <x v="0"/>
    <x v="6"/>
    <x v="43"/>
    <n v="19250"/>
  </r>
  <r>
    <x v="60"/>
    <s v="Asha"/>
    <x v="15"/>
    <x v="0"/>
    <x v="0"/>
    <x v="3"/>
    <x v="44"/>
    <n v="19251"/>
  </r>
  <r>
    <x v="61"/>
    <s v="Waheda"/>
    <x v="21"/>
    <x v="3"/>
    <x v="0"/>
    <x v="9"/>
    <x v="45"/>
    <n v="17500"/>
  </r>
  <r>
    <x v="62"/>
    <s v="Veena"/>
    <x v="54"/>
    <x v="4"/>
    <x v="1"/>
    <x v="1"/>
    <x v="46"/>
    <n v="17500"/>
  </r>
  <r>
    <x v="63"/>
    <s v="Timsi"/>
    <x v="12"/>
    <x v="7"/>
    <x v="3"/>
    <x v="10"/>
    <x v="47"/>
    <n v="17500"/>
  </r>
  <r>
    <x v="64"/>
    <s v="Parul"/>
    <x v="55"/>
    <x v="4"/>
    <x v="0"/>
    <x v="6"/>
    <x v="48"/>
    <n v="17500"/>
  </r>
  <r>
    <x v="65"/>
    <s v="Uday"/>
    <x v="56"/>
    <x v="4"/>
    <x v="0"/>
    <x v="19"/>
    <x v="49"/>
    <n v="20125"/>
  </r>
  <r>
    <x v="66"/>
    <s v="Mandakini"/>
    <x v="12"/>
    <x v="0"/>
    <x v="0"/>
    <x v="2"/>
    <x v="35"/>
    <n v="14000"/>
  </r>
  <r>
    <x v="67"/>
    <s v="Pravin"/>
    <x v="30"/>
    <x v="4"/>
    <x v="0"/>
    <x v="2"/>
    <x v="36"/>
    <n v="14000"/>
  </r>
  <r>
    <x v="68"/>
    <s v="Reeta"/>
    <x v="56"/>
    <x v="2"/>
    <x v="3"/>
    <x v="10"/>
    <x v="50"/>
    <n v="14000"/>
  </r>
  <r>
    <x v="69"/>
    <s v="Surendra"/>
    <x v="57"/>
    <x v="3"/>
    <x v="2"/>
    <x v="29"/>
    <x v="51"/>
    <n v="14000"/>
  </r>
  <r>
    <x v="70"/>
    <s v="Yamini"/>
    <x v="29"/>
    <x v="3"/>
    <x v="1"/>
    <x v="21"/>
    <x v="52"/>
    <n v="17500"/>
  </r>
  <r>
    <x v="71"/>
    <s v="Laveena"/>
    <x v="58"/>
    <x v="7"/>
    <x v="0"/>
    <x v="12"/>
    <x v="53"/>
    <n v="17500"/>
  </r>
  <r>
    <x v="72"/>
    <s v="Nita"/>
    <x v="59"/>
    <x v="0"/>
    <x v="3"/>
    <x v="8"/>
    <x v="45"/>
    <n v="17500"/>
  </r>
  <r>
    <x v="73"/>
    <s v="Suraj"/>
    <x v="60"/>
    <x v="1"/>
    <x v="3"/>
    <x v="10"/>
    <x v="46"/>
    <n v="17500"/>
  </r>
  <r>
    <x v="74"/>
    <s v="Nayeem"/>
    <x v="41"/>
    <x v="7"/>
    <x v="2"/>
    <x v="29"/>
    <x v="47"/>
    <n v="17500"/>
  </r>
  <r>
    <x v="75"/>
    <s v="Drishti"/>
    <x v="55"/>
    <x v="3"/>
    <x v="0"/>
    <x v="2"/>
    <x v="48"/>
    <n v="17500"/>
  </r>
  <r>
    <x v="76"/>
    <s v="Deep"/>
    <x v="61"/>
    <x v="0"/>
    <x v="2"/>
    <x v="18"/>
    <x v="49"/>
    <n v="17500"/>
  </r>
  <r>
    <x v="77"/>
    <s v="Sagar"/>
    <x v="62"/>
    <x v="2"/>
    <x v="0"/>
    <x v="2"/>
    <x v="54"/>
    <n v="17500"/>
  </r>
  <r>
    <x v="78"/>
    <s v="Dayanand"/>
    <x v="63"/>
    <x v="2"/>
    <x v="0"/>
    <x v="0"/>
    <x v="55"/>
    <n v="17500"/>
  </r>
  <r>
    <x v="79"/>
    <s v="Tara"/>
    <x v="64"/>
    <x v="7"/>
    <x v="1"/>
    <x v="27"/>
    <x v="56"/>
    <n v="17500"/>
  </r>
  <r>
    <x v="80"/>
    <s v="Kalpana"/>
    <x v="65"/>
    <x v="3"/>
    <x v="3"/>
    <x v="13"/>
    <x v="57"/>
    <n v="17500"/>
  </r>
  <r>
    <x v="81"/>
    <s v="Kunal"/>
    <x v="55"/>
    <x v="7"/>
    <x v="0"/>
    <x v="22"/>
    <x v="58"/>
    <n v="7000"/>
  </r>
  <r>
    <x v="82"/>
    <s v="Pinky"/>
    <x v="66"/>
    <x v="3"/>
    <x v="3"/>
    <x v="10"/>
    <x v="59"/>
    <n v="7000"/>
  </r>
  <r>
    <x v="83"/>
    <s v="Ruby"/>
    <x v="67"/>
    <x v="3"/>
    <x v="0"/>
    <x v="6"/>
    <x v="60"/>
    <n v="7000"/>
  </r>
  <r>
    <x v="84"/>
    <s v="Sonia"/>
    <x v="19"/>
    <x v="7"/>
    <x v="0"/>
    <x v="9"/>
    <x v="61"/>
    <n v="17500"/>
  </r>
  <r>
    <x v="85"/>
    <s v="Jignesh"/>
    <x v="68"/>
    <x v="2"/>
    <x v="1"/>
    <x v="1"/>
    <x v="62"/>
    <n v="17500"/>
  </r>
  <r>
    <x v="86"/>
    <s v="Vinit"/>
    <x v="69"/>
    <x v="2"/>
    <x v="2"/>
    <x v="5"/>
    <x v="63"/>
    <n v="7875"/>
  </r>
  <r>
    <x v="87"/>
    <s v="Tejal"/>
    <x v="70"/>
    <x v="0"/>
    <x v="0"/>
    <x v="22"/>
    <x v="64"/>
    <n v="22750"/>
  </r>
  <r>
    <x v="88"/>
    <s v="Priyanka"/>
    <x v="42"/>
    <x v="3"/>
    <x v="0"/>
    <x v="12"/>
    <x v="65"/>
    <n v="22750"/>
  </r>
  <r>
    <x v="89"/>
    <s v="Niki"/>
    <x v="71"/>
    <x v="0"/>
    <x v="3"/>
    <x v="10"/>
    <x v="66"/>
    <n v="22750"/>
  </r>
  <r>
    <x v="90"/>
    <s v="Payal"/>
    <x v="72"/>
    <x v="2"/>
    <x v="3"/>
    <x v="25"/>
    <x v="67"/>
    <n v="17325"/>
  </r>
  <r>
    <x v="91"/>
    <s v="Harsha"/>
    <x v="15"/>
    <x v="0"/>
    <x v="1"/>
    <x v="17"/>
    <x v="68"/>
    <n v="17325"/>
  </r>
  <r>
    <x v="92"/>
    <s v="Radhika"/>
    <x v="73"/>
    <x v="2"/>
    <x v="2"/>
    <x v="20"/>
    <x v="69"/>
    <n v="17325"/>
  </r>
  <r>
    <x v="93"/>
    <s v="Kabir"/>
    <x v="32"/>
    <x v="2"/>
    <x v="1"/>
    <x v="17"/>
    <x v="70"/>
    <n v="17325"/>
  </r>
  <r>
    <x v="94"/>
    <s v="Beena"/>
    <x v="1"/>
    <x v="3"/>
    <x v="2"/>
    <x v="24"/>
    <x v="71"/>
    <n v="17325"/>
  </r>
  <r>
    <x v="95"/>
    <s v="Pushpa"/>
    <x v="74"/>
    <x v="3"/>
    <x v="1"/>
    <x v="28"/>
    <x v="72"/>
    <n v="17325"/>
  </r>
  <r>
    <x v="96"/>
    <s v="Chetan"/>
    <x v="75"/>
    <x v="7"/>
    <x v="0"/>
    <x v="2"/>
    <x v="73"/>
    <n v="17325"/>
  </r>
  <r>
    <x v="97"/>
    <s v="Indu"/>
    <x v="55"/>
    <x v="5"/>
    <x v="2"/>
    <x v="18"/>
    <x v="63"/>
    <n v="10500"/>
  </r>
  <r>
    <x v="98"/>
    <s v="Rupesh"/>
    <x v="76"/>
    <x v="5"/>
    <x v="1"/>
    <x v="1"/>
    <x v="74"/>
    <n v="7875"/>
  </r>
  <r>
    <x v="99"/>
    <s v="ravi"/>
    <x v="1"/>
    <x v="8"/>
    <x v="3"/>
    <x v="13"/>
    <x v="0"/>
    <n v="17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3AE86-EE9E-4ABC-B4C6-7EDF737B6F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dataField="1" numFmtId="43" showAll="0"/>
    <pivotField numFmtId="43" showAll="0"/>
    <pivotField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Hours" fld="4" baseField="0" baseItem="0" numFmtId="43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4B66F-1FE5-4B55-B863-A20AD168953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numFmtId="43" showAll="0"/>
    <pivotField numFmtId="43" showAll="0"/>
    <pivotField dataField="1"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Wage" fld="6" baseField="0" baseItem="0" numFmtId="4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33206-E5B9-483C-8789-85E558F694B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42" firstHeaderRow="1" firstDataRow="1" firstDataCol="2"/>
  <pivotFields count="8">
    <pivotField compact="0" outline="0" showAll="0"/>
    <pivotField compact="0" outline="0" showAll="0"/>
    <pivotField compact="0" outline="0" showAll="0"/>
    <pivotField axis="axisRow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2">
    <field x="3"/>
    <field x="4"/>
  </rowFields>
  <rowItems count="40">
    <i>
      <x/>
      <x v="3"/>
    </i>
    <i r="1">
      <x v="1"/>
    </i>
    <i r="1">
      <x/>
    </i>
    <i r="1">
      <x v="2"/>
    </i>
    <i t="default">
      <x/>
    </i>
    <i>
      <x v="1"/>
      <x v="3"/>
    </i>
    <i r="1">
      <x v="2"/>
    </i>
    <i r="1">
      <x/>
    </i>
    <i r="1">
      <x v="1"/>
    </i>
    <i t="default">
      <x v="1"/>
    </i>
    <i>
      <x v="2"/>
      <x v="2"/>
    </i>
    <i t="default">
      <x v="2"/>
    </i>
    <i>
      <x v="3"/>
      <x v="1"/>
    </i>
    <i r="1">
      <x/>
    </i>
    <i r="1">
      <x v="2"/>
    </i>
    <i r="1">
      <x v="3"/>
    </i>
    <i t="default">
      <x v="3"/>
    </i>
    <i>
      <x v="4"/>
      <x/>
    </i>
    <i t="default">
      <x v="4"/>
    </i>
    <i>
      <x v="5"/>
      <x v="2"/>
    </i>
    <i r="1">
      <x/>
    </i>
    <i r="1">
      <x v="1"/>
    </i>
    <i r="1">
      <x v="3"/>
    </i>
    <i t="default">
      <x v="5"/>
    </i>
    <i>
      <x v="6"/>
      <x v="2"/>
    </i>
    <i r="1">
      <x v="1"/>
    </i>
    <i r="1">
      <x/>
    </i>
    <i r="1">
      <x v="3"/>
    </i>
    <i t="default">
      <x v="6"/>
    </i>
    <i>
      <x v="7"/>
      <x v="1"/>
    </i>
    <i r="1">
      <x v="2"/>
    </i>
    <i r="1">
      <x v="3"/>
    </i>
    <i r="1">
      <x/>
    </i>
    <i t="default">
      <x v="7"/>
    </i>
    <i>
      <x v="8"/>
      <x/>
    </i>
    <i r="1">
      <x v="1"/>
    </i>
    <i r="1">
      <x v="3"/>
    </i>
    <i r="1">
      <x v="2"/>
    </i>
    <i t="default">
      <x v="8"/>
    </i>
    <i t="grand">
      <x/>
    </i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885A2-B34D-4E75-A3BA-797DD4D03290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78" firstHeaderRow="1" firstDataRow="1" firstDataCol="1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BC4BC-BD69-4F77-8FA5-5359E33D46EE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2" firstHeaderRow="1" firstDataRow="1" firstDataCol="1"/>
  <pivotFields count="8">
    <pivotField compact="0" outline="0" showAll="0"/>
    <pivotField compact="0" outline="0" showAll="0"/>
    <pivotField compact="0" outline="0" showAll="0"/>
    <pivotField axis="axisRow" compact="0" outline="0" showAll="0" sortType="descending">
      <items count="10">
        <item x="1"/>
        <item x="7"/>
        <item x="6"/>
        <item x="5"/>
        <item x="8"/>
        <item x="2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3"/>
  </rowFields>
  <rowItems count="10">
    <i>
      <x v="2"/>
    </i>
    <i>
      <x v="3"/>
    </i>
    <i>
      <x v="4"/>
    </i>
    <i>
      <x v="8"/>
    </i>
    <i>
      <x v="6"/>
    </i>
    <i>
      <x v="1"/>
    </i>
    <i>
      <x/>
    </i>
    <i>
      <x v="7"/>
    </i>
    <i>
      <x v="5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E37F0-382E-4DA8-A834-D3A1680F3A42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21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h="1" x="7"/>
        <item h="1" x="6"/>
        <item h="1" x="5"/>
        <item h="1" x="8"/>
        <item h="1" x="2"/>
        <item h="1" x="4"/>
        <item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7">
    <i>
      <x v="5"/>
    </i>
    <i>
      <x v="7"/>
    </i>
    <i>
      <x v="25"/>
    </i>
    <i>
      <x v="27"/>
    </i>
    <i>
      <x v="30"/>
    </i>
    <i>
      <x v="35"/>
    </i>
    <i>
      <x v="40"/>
    </i>
    <i>
      <x v="41"/>
    </i>
    <i>
      <x v="43"/>
    </i>
    <i>
      <x v="47"/>
    </i>
    <i>
      <x v="55"/>
    </i>
    <i>
      <x v="56"/>
    </i>
    <i>
      <x v="60"/>
    </i>
    <i>
      <x v="62"/>
    </i>
    <i>
      <x v="68"/>
    </i>
    <i>
      <x v="69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33C8A-AEC9-49B8-A662-F88CDBA8FB94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1">
    <field x="4"/>
  </rowFields>
  <rowItems count="4">
    <i>
      <x v="2"/>
    </i>
    <i>
      <x/>
    </i>
    <i>
      <x v="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6436A-8F24-4EA5-8A32-5E76AA297511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19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x="7"/>
        <item h="1" x="6"/>
        <item h="1" x="5"/>
        <item h="1" x="8"/>
        <item h="1" x="2"/>
        <item h="1" x="4"/>
        <item h="1"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5">
    <i>
      <x v="7"/>
    </i>
    <i>
      <x v="15"/>
    </i>
    <i>
      <x v="22"/>
    </i>
    <i>
      <x v="24"/>
    </i>
    <i>
      <x v="26"/>
    </i>
    <i>
      <x v="29"/>
    </i>
    <i>
      <x v="34"/>
    </i>
    <i>
      <x v="42"/>
    </i>
    <i>
      <x v="47"/>
    </i>
    <i>
      <x v="53"/>
    </i>
    <i>
      <x v="57"/>
    </i>
    <i>
      <x v="60"/>
    </i>
    <i>
      <x v="63"/>
    </i>
    <i>
      <x v="67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80716-96A0-4CD3-95DC-56ECBE9FFDA0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4">
    <i>
      <x v="12"/>
    </i>
    <i>
      <x v="63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36137-498D-4E19-AEEE-83BA7F8BA9EC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9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5">
    <i>
      <x v="64"/>
    </i>
    <i>
      <x v="75"/>
    </i>
    <i>
      <x v="97"/>
    </i>
    <i>
      <x v="8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CAC49-86FF-4655-A90E-6E0245129D2B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4">
    <i>
      <x v="7"/>
    </i>
    <i>
      <x v="5"/>
    </i>
    <i>
      <x v="10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BD9BE-6131-4CD6-B9ED-554D30B4BF17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4">
    <i>
      <x/>
    </i>
    <i>
      <x v="40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1D6A4-6A66-4ADA-BC7E-A57BECAF5042}" name="PivotTable2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C5" firstHeaderRow="1" firstDataRow="1" firstDataCol="0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Items count="1">
    <i/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3FC16-620F-4A4C-9B2E-2E47564ED652}" name="PivotTable2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M36" firstHeaderRow="1" firstDataRow="2" firstDataCol="1"/>
  <pivotFields count="8">
    <pivotField compact="0" outline="0" showAll="0"/>
    <pivotField compact="0" outline="0" showAll="0"/>
    <pivotField compact="0" outline="0" showAll="0"/>
    <pivotField axis="axisCol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31">
    <i>
      <x v="7"/>
    </i>
    <i>
      <x v="22"/>
    </i>
    <i>
      <x v="17"/>
    </i>
    <i>
      <x v="29"/>
    </i>
    <i>
      <x v="1"/>
    </i>
    <i>
      <x v="16"/>
    </i>
    <i>
      <x v="11"/>
    </i>
    <i>
      <x v="8"/>
    </i>
    <i>
      <x v="3"/>
    </i>
    <i>
      <x v="10"/>
    </i>
    <i>
      <x v="12"/>
    </i>
    <i>
      <x v="6"/>
    </i>
    <i>
      <x v="23"/>
    </i>
    <i>
      <x v="18"/>
    </i>
    <i>
      <x v="5"/>
    </i>
    <i>
      <x v="25"/>
    </i>
    <i>
      <x v="4"/>
    </i>
    <i>
      <x v="13"/>
    </i>
    <i>
      <x/>
    </i>
    <i>
      <x v="28"/>
    </i>
    <i>
      <x v="15"/>
    </i>
    <i>
      <x v="9"/>
    </i>
    <i>
      <x v="21"/>
    </i>
    <i>
      <x v="24"/>
    </i>
    <i>
      <x v="14"/>
    </i>
    <i>
      <x v="20"/>
    </i>
    <i>
      <x v="26"/>
    </i>
    <i>
      <x v="2"/>
    </i>
    <i>
      <x v="19"/>
    </i>
    <i>
      <x v="27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Average of Salary" fld="7" subtotal="average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fb t="e">#NAME?</fb>
    <v>4</v>
    <v>1</v>
  </rv>
  <rv s="1">
    <fb t="e">#NAME?</fb>
    <v>4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3E32FE-CAE0-4A81-84D9-054E63B924B7}" name="Table3" displayName="Table3" ref="B3:D13" totalsRowShown="0" headerRowBorderDxfId="6" tableBorderDxfId="5" totalsRowBorderDxfId="4">
  <autoFilter ref="B3:D13" xr:uid="{0B6F1990-0E07-4640-B76C-3AD7A383AA1D}"/>
  <tableColumns count="3">
    <tableColumn id="1" xr3:uid="{00000000-0010-0000-0100-000001000000}" name="Date" dataDxfId="3"/>
    <tableColumn id="2" xr3:uid="{00000000-0010-0000-0100-000002000000}" name="Product Name" dataDxfId="2"/>
    <tableColumn id="3" xr3:uid="{00000000-0010-0000-0100-000003000000}" name="Amoun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Custom 1">
      <a:dk1>
        <a:srgbClr val="0070C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youtube.com/@RajSinghMicrosoft" TargetMode="Externa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@RajSinghMicrosoft" TargetMode="Externa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4.xml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5.x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6.xm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7.xml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8.xm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9.xm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0.xml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1.xm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2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9BFE-8424-4CC5-834A-01723FCC2534}">
  <dimension ref="A1:C76"/>
  <sheetViews>
    <sheetView workbookViewId="0">
      <selection activeCell="B2" sqref="B2"/>
    </sheetView>
  </sheetViews>
  <sheetFormatPr defaultRowHeight="18.75" x14ac:dyDescent="0.3"/>
  <cols>
    <col min="1" max="1" width="6" style="130" customWidth="1"/>
    <col min="2" max="2" width="39.296875" style="130" bestFit="1" customWidth="1"/>
    <col min="3" max="3" width="11.19921875" style="130" bestFit="1" customWidth="1"/>
  </cols>
  <sheetData>
    <row r="1" spans="1:3" x14ac:dyDescent="0.3">
      <c r="A1" s="130" t="s">
        <v>0</v>
      </c>
      <c r="B1" s="130" t="s">
        <v>1</v>
      </c>
      <c r="C1" s="131" t="s">
        <v>2</v>
      </c>
    </row>
    <row r="2" spans="1:3" x14ac:dyDescent="0.3">
      <c r="A2" s="130">
        <v>1</v>
      </c>
      <c r="B2" s="131" t="s">
        <v>3</v>
      </c>
      <c r="C2" s="131" t="s">
        <v>4</v>
      </c>
    </row>
    <row r="3" spans="1:3" x14ac:dyDescent="0.3">
      <c r="A3" s="130">
        <v>2</v>
      </c>
      <c r="B3" s="131" t="s">
        <v>5</v>
      </c>
      <c r="C3" s="131" t="s">
        <v>6</v>
      </c>
    </row>
    <row r="4" spans="1:3" x14ac:dyDescent="0.3">
      <c r="A4" s="130">
        <v>3</v>
      </c>
      <c r="B4" s="131" t="s">
        <v>7</v>
      </c>
      <c r="C4" s="131" t="s">
        <v>8</v>
      </c>
    </row>
    <row r="5" spans="1:3" x14ac:dyDescent="0.3">
      <c r="A5" s="130">
        <v>4</v>
      </c>
      <c r="B5" s="131" t="s">
        <v>9</v>
      </c>
      <c r="C5" s="131" t="s">
        <v>10</v>
      </c>
    </row>
    <row r="6" spans="1:3" x14ac:dyDescent="0.3">
      <c r="A6" s="130">
        <v>5</v>
      </c>
      <c r="B6" s="131" t="s">
        <v>11</v>
      </c>
    </row>
    <row r="7" spans="1:3" x14ac:dyDescent="0.3">
      <c r="A7" s="130">
        <v>6</v>
      </c>
      <c r="B7" s="131" t="s">
        <v>12</v>
      </c>
    </row>
    <row r="8" spans="1:3" x14ac:dyDescent="0.3">
      <c r="A8" s="130">
        <v>7</v>
      </c>
      <c r="B8" s="131" t="s">
        <v>13</v>
      </c>
    </row>
    <row r="9" spans="1:3" x14ac:dyDescent="0.3">
      <c r="A9" s="130">
        <v>8</v>
      </c>
      <c r="B9" s="131" t="s">
        <v>14</v>
      </c>
    </row>
    <row r="10" spans="1:3" x14ac:dyDescent="0.3">
      <c r="A10" s="130">
        <v>9</v>
      </c>
      <c r="B10" s="131" t="s">
        <v>15</v>
      </c>
    </row>
    <row r="11" spans="1:3" x14ac:dyDescent="0.3">
      <c r="A11" s="130">
        <v>10</v>
      </c>
      <c r="B11" s="131" t="s">
        <v>16</v>
      </c>
    </row>
    <row r="12" spans="1:3" x14ac:dyDescent="0.3">
      <c r="A12" s="130">
        <v>11</v>
      </c>
      <c r="B12" s="131" t="s">
        <v>17</v>
      </c>
    </row>
    <row r="13" spans="1:3" x14ac:dyDescent="0.3">
      <c r="A13" s="130">
        <v>12</v>
      </c>
      <c r="B13" s="131" t="s">
        <v>18</v>
      </c>
    </row>
    <row r="14" spans="1:3" x14ac:dyDescent="0.3">
      <c r="A14" s="130">
        <v>13</v>
      </c>
      <c r="B14" s="131" t="s">
        <v>19</v>
      </c>
    </row>
    <row r="15" spans="1:3" x14ac:dyDescent="0.3">
      <c r="A15" s="130">
        <v>14</v>
      </c>
      <c r="B15" s="131" t="s">
        <v>20</v>
      </c>
    </row>
    <row r="16" spans="1:3" x14ac:dyDescent="0.3">
      <c r="A16" s="130">
        <v>15</v>
      </c>
      <c r="B16" s="131" t="s">
        <v>21</v>
      </c>
    </row>
    <row r="17" spans="1:2" x14ac:dyDescent="0.3">
      <c r="A17" s="130">
        <v>16</v>
      </c>
      <c r="B17" s="131" t="s">
        <v>22</v>
      </c>
    </row>
    <row r="18" spans="1:2" x14ac:dyDescent="0.3">
      <c r="A18" s="130">
        <v>17</v>
      </c>
      <c r="B18" s="131" t="s">
        <v>23</v>
      </c>
    </row>
    <row r="19" spans="1:2" x14ac:dyDescent="0.3">
      <c r="A19" s="130">
        <v>18</v>
      </c>
      <c r="B19" s="131" t="s">
        <v>24</v>
      </c>
    </row>
    <row r="20" spans="1:2" x14ac:dyDescent="0.3">
      <c r="A20" s="130">
        <v>19</v>
      </c>
      <c r="B20" s="131" t="s">
        <v>25</v>
      </c>
    </row>
    <row r="21" spans="1:2" x14ac:dyDescent="0.3">
      <c r="A21" s="130">
        <v>20</v>
      </c>
      <c r="B21" s="131" t="s">
        <v>26</v>
      </c>
    </row>
    <row r="22" spans="1:2" x14ac:dyDescent="0.3">
      <c r="A22" s="130">
        <v>21</v>
      </c>
      <c r="B22" s="131" t="s">
        <v>27</v>
      </c>
    </row>
    <row r="23" spans="1:2" x14ac:dyDescent="0.3">
      <c r="A23" s="130">
        <v>22</v>
      </c>
      <c r="B23" s="131" t="s">
        <v>28</v>
      </c>
    </row>
    <row r="24" spans="1:2" x14ac:dyDescent="0.3">
      <c r="A24" s="130">
        <v>23</v>
      </c>
      <c r="B24" s="131" t="s">
        <v>29</v>
      </c>
    </row>
    <row r="25" spans="1:2" x14ac:dyDescent="0.3">
      <c r="A25" s="130">
        <v>24</v>
      </c>
      <c r="B25" s="131" t="s">
        <v>30</v>
      </c>
    </row>
    <row r="26" spans="1:2" x14ac:dyDescent="0.3">
      <c r="A26" s="130">
        <v>25</v>
      </c>
      <c r="B26" s="131" t="s">
        <v>31</v>
      </c>
    </row>
    <row r="27" spans="1:2" x14ac:dyDescent="0.3">
      <c r="A27" s="130">
        <v>26</v>
      </c>
      <c r="B27" s="131" t="s">
        <v>32</v>
      </c>
    </row>
    <row r="28" spans="1:2" x14ac:dyDescent="0.3">
      <c r="A28" s="130">
        <v>27</v>
      </c>
      <c r="B28" s="131" t="s">
        <v>33</v>
      </c>
    </row>
    <row r="29" spans="1:2" x14ac:dyDescent="0.3">
      <c r="A29" s="130">
        <v>28</v>
      </c>
      <c r="B29" s="131" t="s">
        <v>34</v>
      </c>
    </row>
    <row r="30" spans="1:2" x14ac:dyDescent="0.3">
      <c r="A30" s="130">
        <v>29</v>
      </c>
      <c r="B30" s="131" t="s">
        <v>35</v>
      </c>
    </row>
    <row r="31" spans="1:2" x14ac:dyDescent="0.3">
      <c r="A31" s="130">
        <v>30</v>
      </c>
      <c r="B31" s="131" t="s">
        <v>36</v>
      </c>
    </row>
    <row r="32" spans="1:2" x14ac:dyDescent="0.3">
      <c r="A32" s="130">
        <v>31</v>
      </c>
      <c r="B32" s="131" t="s">
        <v>37</v>
      </c>
    </row>
    <row r="33" spans="1:2" x14ac:dyDescent="0.3">
      <c r="A33" s="130">
        <v>32</v>
      </c>
      <c r="B33" s="131" t="s">
        <v>38</v>
      </c>
    </row>
    <row r="34" spans="1:2" x14ac:dyDescent="0.3">
      <c r="A34" s="130">
        <v>33</v>
      </c>
      <c r="B34" s="131" t="s">
        <v>39</v>
      </c>
    </row>
    <row r="35" spans="1:2" x14ac:dyDescent="0.3">
      <c r="A35" s="130">
        <v>34</v>
      </c>
      <c r="B35" s="131" t="s">
        <v>40</v>
      </c>
    </row>
    <row r="36" spans="1:2" x14ac:dyDescent="0.3">
      <c r="A36" s="130">
        <v>35</v>
      </c>
      <c r="B36" s="131" t="s">
        <v>41</v>
      </c>
    </row>
    <row r="37" spans="1:2" x14ac:dyDescent="0.3">
      <c r="A37" s="130">
        <v>36</v>
      </c>
      <c r="B37" s="131" t="s">
        <v>42</v>
      </c>
    </row>
    <row r="38" spans="1:2" x14ac:dyDescent="0.3">
      <c r="A38" s="130">
        <v>37</v>
      </c>
      <c r="B38" s="131" t="s">
        <v>43</v>
      </c>
    </row>
    <row r="39" spans="1:2" x14ac:dyDescent="0.3">
      <c r="A39" s="130">
        <v>38</v>
      </c>
      <c r="B39" s="131" t="s">
        <v>44</v>
      </c>
    </row>
    <row r="40" spans="1:2" x14ac:dyDescent="0.3">
      <c r="A40" s="130">
        <v>39</v>
      </c>
      <c r="B40" s="131" t="s">
        <v>45</v>
      </c>
    </row>
    <row r="41" spans="1:2" x14ac:dyDescent="0.3">
      <c r="A41" s="130">
        <v>40</v>
      </c>
      <c r="B41" s="131" t="s">
        <v>46</v>
      </c>
    </row>
    <row r="42" spans="1:2" x14ac:dyDescent="0.3">
      <c r="A42" s="130">
        <v>41</v>
      </c>
      <c r="B42" s="131" t="s">
        <v>47</v>
      </c>
    </row>
    <row r="43" spans="1:2" x14ac:dyDescent="0.3">
      <c r="A43" s="130">
        <v>42</v>
      </c>
      <c r="B43" s="131" t="s">
        <v>48</v>
      </c>
    </row>
    <row r="44" spans="1:2" x14ac:dyDescent="0.3">
      <c r="A44" s="130">
        <v>43</v>
      </c>
      <c r="B44" s="131" t="s">
        <v>49</v>
      </c>
    </row>
    <row r="45" spans="1:2" x14ac:dyDescent="0.3">
      <c r="A45" s="130">
        <v>44</v>
      </c>
      <c r="B45" s="131" t="s">
        <v>50</v>
      </c>
    </row>
    <row r="46" spans="1:2" x14ac:dyDescent="0.3">
      <c r="A46" s="130">
        <v>45</v>
      </c>
      <c r="B46" s="131" t="s">
        <v>51</v>
      </c>
    </row>
    <row r="47" spans="1:2" x14ac:dyDescent="0.3">
      <c r="A47" s="130">
        <v>46</v>
      </c>
      <c r="B47" s="131" t="s">
        <v>52</v>
      </c>
    </row>
    <row r="48" spans="1:2" x14ac:dyDescent="0.3">
      <c r="A48" s="130">
        <v>47</v>
      </c>
      <c r="B48" s="131" t="s">
        <v>53</v>
      </c>
    </row>
    <row r="49" spans="1:2" x14ac:dyDescent="0.3">
      <c r="A49" s="130">
        <v>48</v>
      </c>
      <c r="B49" s="131" t="s">
        <v>54</v>
      </c>
    </row>
    <row r="50" spans="1:2" x14ac:dyDescent="0.3">
      <c r="A50" s="130">
        <v>49</v>
      </c>
      <c r="B50" s="131" t="s">
        <v>55</v>
      </c>
    </row>
    <row r="51" spans="1:2" x14ac:dyDescent="0.3">
      <c r="A51" s="130">
        <v>50</v>
      </c>
      <c r="B51" s="131" t="s">
        <v>56</v>
      </c>
    </row>
    <row r="52" spans="1:2" x14ac:dyDescent="0.3">
      <c r="A52" s="130">
        <v>51</v>
      </c>
      <c r="B52" s="131" t="s">
        <v>57</v>
      </c>
    </row>
    <row r="53" spans="1:2" x14ac:dyDescent="0.3">
      <c r="A53" s="130">
        <v>52</v>
      </c>
      <c r="B53" s="131" t="s">
        <v>58</v>
      </c>
    </row>
    <row r="54" spans="1:2" x14ac:dyDescent="0.3">
      <c r="A54" s="130">
        <v>53</v>
      </c>
      <c r="B54" s="131" t="s">
        <v>59</v>
      </c>
    </row>
    <row r="55" spans="1:2" x14ac:dyDescent="0.3">
      <c r="A55" s="130">
        <v>54</v>
      </c>
      <c r="B55" s="131" t="s">
        <v>60</v>
      </c>
    </row>
    <row r="56" spans="1:2" x14ac:dyDescent="0.3">
      <c r="A56" s="130">
        <v>55</v>
      </c>
      <c r="B56" s="131" t="s">
        <v>61</v>
      </c>
    </row>
    <row r="57" spans="1:2" x14ac:dyDescent="0.3">
      <c r="A57" s="130">
        <v>56</v>
      </c>
      <c r="B57" s="131" t="s">
        <v>62</v>
      </c>
    </row>
    <row r="58" spans="1:2" x14ac:dyDescent="0.3">
      <c r="A58" s="130">
        <v>57</v>
      </c>
      <c r="B58" s="131" t="s">
        <v>63</v>
      </c>
    </row>
    <row r="59" spans="1:2" x14ac:dyDescent="0.3">
      <c r="A59" s="130">
        <v>58</v>
      </c>
      <c r="B59" s="131" t="s">
        <v>64</v>
      </c>
    </row>
    <row r="60" spans="1:2" x14ac:dyDescent="0.3">
      <c r="A60" s="130">
        <v>59</v>
      </c>
      <c r="B60" s="131" t="s">
        <v>65</v>
      </c>
    </row>
    <row r="61" spans="1:2" x14ac:dyDescent="0.3">
      <c r="A61" s="130">
        <v>60</v>
      </c>
      <c r="B61" s="131" t="s">
        <v>66</v>
      </c>
    </row>
    <row r="62" spans="1:2" x14ac:dyDescent="0.3">
      <c r="A62" s="130">
        <v>61</v>
      </c>
      <c r="B62" s="131" t="s">
        <v>67</v>
      </c>
    </row>
    <row r="63" spans="1:2" x14ac:dyDescent="0.3">
      <c r="A63" s="130">
        <v>62</v>
      </c>
      <c r="B63" s="131" t="s">
        <v>68</v>
      </c>
    </row>
    <row r="64" spans="1:2" x14ac:dyDescent="0.3">
      <c r="A64" s="130">
        <v>63</v>
      </c>
      <c r="B64" s="131" t="s">
        <v>69</v>
      </c>
    </row>
    <row r="65" spans="1:2" x14ac:dyDescent="0.3">
      <c r="A65" s="130">
        <v>64</v>
      </c>
      <c r="B65" s="131" t="s">
        <v>70</v>
      </c>
    </row>
    <row r="66" spans="1:2" x14ac:dyDescent="0.3">
      <c r="A66" s="130">
        <v>65</v>
      </c>
      <c r="B66" s="131" t="s">
        <v>71</v>
      </c>
    </row>
    <row r="67" spans="1:2" x14ac:dyDescent="0.3">
      <c r="A67" s="130">
        <v>66</v>
      </c>
      <c r="B67" s="131" t="s">
        <v>72</v>
      </c>
    </row>
    <row r="68" spans="1:2" x14ac:dyDescent="0.3">
      <c r="A68" s="130">
        <v>67</v>
      </c>
      <c r="B68" s="131" t="s">
        <v>73</v>
      </c>
    </row>
    <row r="69" spans="1:2" x14ac:dyDescent="0.3">
      <c r="A69" s="130">
        <v>68</v>
      </c>
      <c r="B69" s="131" t="s">
        <v>74</v>
      </c>
    </row>
    <row r="70" spans="1:2" x14ac:dyDescent="0.3">
      <c r="A70" s="130">
        <v>69</v>
      </c>
      <c r="B70" s="131" t="s">
        <v>75</v>
      </c>
    </row>
    <row r="71" spans="1:2" x14ac:dyDescent="0.3">
      <c r="A71" s="130">
        <v>70</v>
      </c>
      <c r="B71" s="131" t="s">
        <v>76</v>
      </c>
    </row>
    <row r="72" spans="1:2" x14ac:dyDescent="0.3">
      <c r="A72" s="130">
        <v>71</v>
      </c>
      <c r="B72" s="131" t="s">
        <v>77</v>
      </c>
    </row>
    <row r="73" spans="1:2" x14ac:dyDescent="0.3">
      <c r="A73" s="130">
        <v>72</v>
      </c>
      <c r="B73" s="131" t="s">
        <v>78</v>
      </c>
    </row>
    <row r="74" spans="1:2" x14ac:dyDescent="0.3">
      <c r="A74" s="130">
        <v>73</v>
      </c>
      <c r="B74" s="131" t="s">
        <v>79</v>
      </c>
    </row>
    <row r="75" spans="1:2" x14ac:dyDescent="0.3">
      <c r="A75" s="130">
        <v>74</v>
      </c>
      <c r="B75" s="131" t="s">
        <v>80</v>
      </c>
    </row>
    <row r="76" spans="1:2" x14ac:dyDescent="0.3">
      <c r="A76" s="130">
        <v>75</v>
      </c>
      <c r="B76" s="131" t="s">
        <v>81</v>
      </c>
    </row>
  </sheetData>
  <hyperlinks>
    <hyperlink ref="B2" location="'1'!A1" display=" Sum &amp; Auto Sum Formula" xr:uid="{0754AF49-B822-4A18-88A9-13EDC9219A70}"/>
    <hyperlink ref="B3" location="'2'!B1" display=" Sumif Formula ( Bonus Tricks )" xr:uid="{E71ED4D2-374D-4620-BBB4-37EED18F8498}"/>
    <hyperlink ref="B4" location="'3'!A1" display=" Unique Formula" xr:uid="{02FCC9C7-1461-4C1E-BDBA-AA2ACFC09A3E}"/>
    <hyperlink ref="B5" location="'4'!A1" display=" Sumifs Formula" xr:uid="{EB050B9B-6FA5-4135-BA81-FAE0623A9474}"/>
    <hyperlink ref="B6" location="'5'!A1" display=" Product Formula (*)" xr:uid="{52AB441B-BEB4-4BAA-881A-E76B23F3B910}"/>
    <hyperlink ref="B7" location="'6'!A1" display=" Sumproduct Formula" xr:uid="{417070FC-22EA-47EF-9183-4294B5155788}"/>
    <hyperlink ref="B8" location="'7'!A1" display=" Running Total" xr:uid="{7A376F5B-4423-41EF-978E-4B30E4BD0709}"/>
    <hyperlink ref="B9" location="'8'!A1" display=" Formulatext Formula" xr:uid="{6F375B5A-93A9-481A-8D76-038493A75F5E}"/>
    <hyperlink ref="B10" location="'9'!A1" display=" Dynamic Formulas" xr:uid="{E060FC19-55CC-4255-8158-3D524545DA67}"/>
    <hyperlink ref="B11" location="'10'!A1" display=" Average Formula" xr:uid="{08AF7E90-B49B-4039-9B0B-05185916CE10}"/>
    <hyperlink ref="B12" location="'11'!A1" display=" Averageif Formula" xr:uid="{C543F340-EE3A-4FFD-8DF2-00E4CBFFED7F}"/>
    <hyperlink ref="B13" location="'12'!A1" display=" Iferror Formula" xr:uid="{A6112E37-F8D8-4080-AC9D-CE02F259919F}"/>
    <hyperlink ref="B14" location="'13'!A1" display=" Averageifs Formula" xr:uid="{D1ABCED0-ACDF-4A6F-BE51-4E4E5F443E26}"/>
    <hyperlink ref="B15" location="'14'!A1" display="LEN Magical Formula" xr:uid="{5E8FB982-A8EC-4C4C-A73D-89EC67275A5F}"/>
    <hyperlink ref="B16" location="'15'!A1" display=" Max Formula" xr:uid="{74B90130-68F9-407A-81BE-2506AD3B2EC5}"/>
    <hyperlink ref="B17" location="'16'!A1" display=" Large Formula" xr:uid="{68BDB3E3-A2CE-4804-90F9-10376DAF1FB8}"/>
    <hyperlink ref="B18" location="'17'!A1" display=" Min Formula" xr:uid="{1B4C8E1D-27FC-4A38-A95C-A405479D1280}"/>
    <hyperlink ref="B19" location="'18'!A1" display=" Small Formula" xr:uid="{F97C4F12-5C20-45CB-B146-3286218314CF}"/>
    <hyperlink ref="B20" location="'19'!A1" display=" Rank Formula" xr:uid="{C3FABB1F-28D5-48BA-95D3-D5C2A09EE9F7}"/>
    <hyperlink ref="B21" location="'20'!A1" display=" Count Formula" xr:uid="{1102883B-82A1-4A38-9B20-A3062021853E}"/>
    <hyperlink ref="B22" location="'21'!A1" display=" Counta Formula" xr:uid="{2826E538-45A8-45C8-A85A-3004C83F84D3}"/>
    <hyperlink ref="B23" location="'22'!A1" display=" Countblank Formula" xr:uid="{79E926AA-1181-4B3E-BEC1-9F03B1C0717E}"/>
    <hyperlink ref="B24" location="'23'!A1" display=" Countif Formula" xr:uid="{F4075A46-0266-4E33-86EF-6FB4770422D1}"/>
    <hyperlink ref="B25" location="'24'!A1" display=" Countifs Formula" xr:uid="{FF325058-3AFB-446C-BA26-CD488B482B12}"/>
    <hyperlink ref="B26" location="'25'!A1" display=" Subtotal Formula" xr:uid="{D07DFBB2-15F9-4FB8-9E9A-E19F5401B013}"/>
    <hyperlink ref="B27" location="'26'!A1" display=" Percentage Calculation" xr:uid="{E146F381-E753-4660-BF5F-F8320E023AF4}"/>
    <hyperlink ref="B28" location="'27'!A1" display=" Percentof Formula" xr:uid="{E9FECDA4-F5B5-482A-A131-ADAEAF8C01E3}"/>
    <hyperlink ref="B29" location="'28'!A1" display=" Rand Formula" xr:uid="{D475AC2C-E2C7-4912-9842-4A194C54F332}"/>
    <hyperlink ref="B30" location="'29'!A1" display=" Randbetween Formula" xr:uid="{64ED636F-BD5F-47DC-A6D6-91F1ADBCA831}"/>
    <hyperlink ref="B31:B36" location="'30'!A1" display=" Abs Formula" xr:uid="{AE02252C-29FD-4726-9537-F44672D48271}"/>
    <hyperlink ref="B32" location="'31'!A1" display=" Convert Formula to Value" xr:uid="{DBAB2710-721F-44B8-9CB5-03E5E59956CD}"/>
    <hyperlink ref="B33" location="'32'!A1" display=" Text Formula" xr:uid="{53A51383-C9BA-4C5D-952B-9350F7E2A085}"/>
    <hyperlink ref="B34" location="'33'!A1" display=" Upper Formula" xr:uid="{D1AD2DEC-E7A5-4F72-87A0-41CEC320C0FD}"/>
    <hyperlink ref="B35" location="'34'!A1" display=" Lower Formula" xr:uid="{8C4EEF95-04F9-404C-AFC5-CFF60A42FC46}"/>
    <hyperlink ref="B36" location="'35'!A1" display=" Proper Formula" xr:uid="{1B4E3406-0D4E-4BDA-96C3-7ECF4BBC0A39}"/>
    <hyperlink ref="B37" location="'36'!A1" display=" Concatenate Formula + Change Case" xr:uid="{232BF223-ADA3-4BDB-8FFC-179090D57FB1}"/>
    <hyperlink ref="B38" location="'37'!A1" display=" &amp; Formula " xr:uid="{C14FC1A1-7870-4684-87E7-AA8C637433F0}"/>
    <hyperlink ref="B39" location="'38'!A1" display=" Textjoin Formula " xr:uid="{065FCA58-CB97-4288-9F33-17F1077C9C91}"/>
    <hyperlink ref="B40" location="'39'!A1" display=" Left Formula " xr:uid="{87983C7A-045B-4F77-9B2C-8A4B103204AB}"/>
    <hyperlink ref="B41" location="'40'!A1" display=" Right Formula " xr:uid="{E0FB52C1-F434-4147-AE35-3A1D8F1C65FD}"/>
    <hyperlink ref="B42" location="'41'!A1" display=" Mid Formula " xr:uid="{3D40D864-6482-4272-BED1-FB7CA3A3D714}"/>
    <hyperlink ref="B43" location="'42'!A1" display=" Flash Fill Magic" xr:uid="{070B64C5-51C9-4D6A-904F-14AE1D857A91}"/>
    <hyperlink ref="B44" location="'43'!A1" display=" Textbefore Formula" xr:uid="{0B481623-4E16-4A63-B250-831D054AF1B6}"/>
    <hyperlink ref="B45" location="'44'!A1" display=" Textafter Formula" xr:uid="{E8E3577D-A07A-41CB-ABCF-DEAEA411CBBE}"/>
    <hyperlink ref="B46" location="'45'!A1" display=" Trim Formula" xr:uid="{766B6AB9-CCEF-4D8B-9C40-A8986200F713}"/>
    <hyperlink ref="B47" location="'46'!A1" display=" Transpose Formula" xr:uid="{65633AEE-3045-4C10-9CC2-2517ECEDF355}"/>
    <hyperlink ref="B48" location="'47'!A1" display=" Textsplit Formula" xr:uid="{DE3665D8-1CD5-4488-B9C7-36F16FFE0C49}"/>
    <hyperlink ref="B49" location="'48'!A1" display=" Now &amp; Today" xr:uid="{E5F565AC-5A9C-4D5F-8C4A-2116211E21BF}"/>
    <hyperlink ref="B50" location="'49'!A1" display=" Date Formula" xr:uid="{1DAB05B2-A0A2-408B-8017-5165AE057601}"/>
    <hyperlink ref="B51" location="'50'!A1" display=" Day, Month &amp; Year Formula" xr:uid="{E71E977D-14A0-4DB0-B4D9-9B41445765BA}"/>
    <hyperlink ref="B52" location="'51'!A1" display=" Days Formula" xr:uid="{3C519D8C-D690-4F99-9654-25C47AD48459}"/>
    <hyperlink ref="B53" location="'52'!A1" display=" Edate Formula" xr:uid="{FC2F3181-925B-4016-8E7F-13BDAF0BC98F}"/>
    <hyperlink ref="B54" location="'53'!A1" display=" Eomonth Formula" xr:uid="{7E94F628-4D07-4524-8126-8BF37633629E}"/>
    <hyperlink ref="B55" location="'54'!A1" display=" Datedif Formula" xr:uid="{D69E4EAB-967B-4DAD-8CC6-EE57436FB69D}"/>
    <hyperlink ref="B56" location="'55'!A1" display=" Workday Formula" xr:uid="{727AEE5D-19A7-482F-B2CD-8D81765CC366}"/>
    <hyperlink ref="B57" location="'56'!A1" display=" Workday.intl Formula" xr:uid="{C8810088-A1C5-47A8-9920-A3C6696EEF95}"/>
    <hyperlink ref="B58" location="'57'!A1" display=" Networkdays Formula" xr:uid="{D1940E21-7F3B-463B-AA12-5B703A9F2E6E}"/>
    <hyperlink ref="B59" location="'58'!A1" display=" Networkdays.intl Formula" xr:uid="{1D82FFD4-C16D-43FF-ACD1-17E19A58566F}"/>
    <hyperlink ref="B60" location="'59'!A1" display=" IF Formula" xr:uid="{A9A34989-66AF-4518-9B7B-D11345C15874}"/>
    <hyperlink ref="B61" location="'60'!A1" display=" IF + And Formula" xr:uid="{C817F0E3-C06C-41F5-8864-35D26F8D3154}"/>
    <hyperlink ref="B62" location="'61'!A1" display=" IF + OR Formula" xr:uid="{1A14496A-31C4-4C8E-8484-1BC63D46126D}"/>
    <hyperlink ref="B63" location="'62'!A1" display=" IFS Formula" xr:uid="{7536FA36-F184-4FE5-A360-43878D7CD482}"/>
    <hyperlink ref="B64" location="'63'!A1" display=" Vlookup Formula" xr:uid="{C5387878-C25F-4E9C-8A74-3F75D0D58ECB}"/>
    <hyperlink ref="B65" location="'64'!A1" display=" Hlookup Formula" xr:uid="{9976681A-976B-42CE-9E47-7C781D1A54BC}"/>
    <hyperlink ref="B66" location="'65'!A1" display=" Match Formula" xr:uid="{83917D74-70FA-42BB-B1E0-3DD654294094}"/>
    <hyperlink ref="B67" location="'66'!A1" display=" Index Formula" xr:uid="{CE4B4D23-236B-46EE-959D-8A2AE8672801}"/>
    <hyperlink ref="B68" location="'67'!A1" display=" Index + Match Formula" xr:uid="{22234B78-6954-4951-96D7-B70666C1025A}"/>
    <hyperlink ref="B69" location="'68'!A1" display=" Xlookup Formula" xr:uid="{EFB18C68-E72A-4FA7-A9FF-3F5007AE0F68}"/>
    <hyperlink ref="B70" location="'69'!A1" display=" Picture Lookup" xr:uid="{229B0966-99E1-4F6B-9DD4-EE67B5BFDC36}"/>
    <hyperlink ref="B71" location="'70'!A1" display="Filter Formula" xr:uid="{574F47E7-B1B7-4154-A1FF-C479476225FF}"/>
    <hyperlink ref="C1" location="Home!A1" display="Home" xr:uid="{DC65D721-7AFD-4962-8AF1-7CC411390787}"/>
    <hyperlink ref="C2" location="Extra!A1" display="END" xr:uid="{0D99CF3A-8AA3-4912-9BA5-4DFF7065D65F}"/>
    <hyperlink ref="C3" location="'Main Data'!A1" display="MAIN DATA" xr:uid="{DD6BAD92-4127-4A91-BC77-C61BB3CA46EB}"/>
    <hyperlink ref="C4" location="'Dashboard 1'!A1" display="DASHBOARD" xr:uid="{0F5C7661-E0A4-4EF5-9725-4C853EF89A49}"/>
    <hyperlink ref="C5" location="'Emp. info'!A1" display="EMP INFO" xr:uid="{DD920D05-A334-4F87-AA84-A67332AF5F2F}"/>
    <hyperlink ref="B73" location="'72'!A1" display="Color Sorting" xr:uid="{B1EF1141-8A9A-4BF9-864F-C9451B76DFC5}"/>
    <hyperlink ref="B72" location="'71'!A1" display="Customized Sorting" xr:uid="{2162236D-E6D3-4BDD-8B9D-B4B5905B1C23}"/>
    <hyperlink ref="B74" location="'73'!A1" display="Customized Sorting" xr:uid="{6A4BC2C4-81B8-4356-A79C-D467608277D8}"/>
    <hyperlink ref="B75" location="'74'!A1" display="Important Statistical&amp; Mathematical Function" xr:uid="{8FA2F3EC-5BE8-498E-B34A-3FCD08225069}"/>
    <hyperlink ref="B76" location="'75 PIVOT'!A1" display="PIVOT" xr:uid="{684E971C-1371-405C-8DAB-EFD75CB4A25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BBCA-ED0F-43DC-A131-90F0A3DD0DDB}">
  <dimension ref="A1:M27"/>
  <sheetViews>
    <sheetView zoomScale="130" zoomScaleNormal="130" workbookViewId="0">
      <pane ySplit="1" topLeftCell="A2" activePane="bottomLeft" state="frozen"/>
      <selection pane="bottomLeft" activeCell="H15" sqref="H15"/>
    </sheetView>
  </sheetViews>
  <sheetFormatPr defaultRowHeight="18.75" x14ac:dyDescent="0.3"/>
  <cols>
    <col min="2" max="2" width="14" customWidth="1"/>
    <col min="3" max="3" width="10.796875" customWidth="1"/>
    <col min="4" max="4" width="9.59765625" customWidth="1"/>
    <col min="5" max="5" width="9.8984375" customWidth="1"/>
    <col min="6" max="6" width="9.5" customWidth="1"/>
  </cols>
  <sheetData>
    <row r="1" spans="1:13" s="2" customFormat="1" ht="32.65" customHeight="1" thickBot="1" x14ac:dyDescent="0.35">
      <c r="A1" s="36">
        <v>1</v>
      </c>
      <c r="B1" s="1" t="s">
        <v>82</v>
      </c>
    </row>
    <row r="2" spans="1:13" x14ac:dyDescent="0.3">
      <c r="A2" s="37" t="s">
        <v>2</v>
      </c>
    </row>
    <row r="3" spans="1:13" x14ac:dyDescent="0.3">
      <c r="B3" s="40" t="s">
        <v>83</v>
      </c>
      <c r="C3" s="40" t="s">
        <v>84</v>
      </c>
      <c r="D3" s="40" t="s">
        <v>85</v>
      </c>
      <c r="E3" s="40" t="s">
        <v>86</v>
      </c>
      <c r="F3" s="40" t="s">
        <v>87</v>
      </c>
      <c r="G3" s="40" t="s">
        <v>88</v>
      </c>
      <c r="I3" s="38"/>
      <c r="J3" s="38"/>
      <c r="K3" s="38"/>
      <c r="L3" s="38"/>
      <c r="M3" s="38"/>
    </row>
    <row r="4" spans="1:13" x14ac:dyDescent="0.3">
      <c r="B4" s="39" t="s">
        <v>89</v>
      </c>
      <c r="C4" s="39" t="s">
        <v>90</v>
      </c>
      <c r="D4" s="39">
        <v>15000</v>
      </c>
      <c r="E4" s="39">
        <v>22000</v>
      </c>
      <c r="F4" s="39">
        <v>18000</v>
      </c>
      <c r="G4" s="54">
        <f>SUM(D4:F4)</f>
        <v>55000</v>
      </c>
    </row>
    <row r="5" spans="1:13" x14ac:dyDescent="0.3">
      <c r="B5" s="39" t="s">
        <v>91</v>
      </c>
      <c r="C5" s="39" t="s">
        <v>92</v>
      </c>
      <c r="D5" s="39">
        <v>27000</v>
      </c>
      <c r="E5" s="39">
        <v>10500</v>
      </c>
      <c r="F5" s="39">
        <v>8500</v>
      </c>
      <c r="G5" s="54">
        <f t="shared" ref="G5:G11" si="0">SUM(D5:F5)</f>
        <v>46000</v>
      </c>
    </row>
    <row r="6" spans="1:13" x14ac:dyDescent="0.3">
      <c r="B6" s="39" t="s">
        <v>93</v>
      </c>
      <c r="C6" s="39" t="s">
        <v>94</v>
      </c>
      <c r="D6" s="39">
        <v>9200</v>
      </c>
      <c r="E6" s="39">
        <v>8800</v>
      </c>
      <c r="F6" s="39">
        <v>32000</v>
      </c>
      <c r="G6" s="54">
        <f t="shared" si="0"/>
        <v>50000</v>
      </c>
    </row>
    <row r="7" spans="1:13" x14ac:dyDescent="0.3">
      <c r="B7" s="39" t="s">
        <v>89</v>
      </c>
      <c r="C7" s="39" t="s">
        <v>90</v>
      </c>
      <c r="D7" s="39">
        <v>33000</v>
      </c>
      <c r="E7" s="39">
        <v>29000</v>
      </c>
      <c r="F7" s="39">
        <v>21000</v>
      </c>
      <c r="G7" s="54">
        <f t="shared" si="0"/>
        <v>83000</v>
      </c>
    </row>
    <row r="8" spans="1:13" x14ac:dyDescent="0.3">
      <c r="B8" s="39" t="s">
        <v>91</v>
      </c>
      <c r="C8" s="39" t="s">
        <v>92</v>
      </c>
      <c r="D8" s="39">
        <v>17500</v>
      </c>
      <c r="E8" s="39">
        <v>14200</v>
      </c>
      <c r="F8" s="39">
        <v>11200</v>
      </c>
      <c r="G8" s="54">
        <f t="shared" si="0"/>
        <v>42900</v>
      </c>
    </row>
    <row r="9" spans="1:13" x14ac:dyDescent="0.3">
      <c r="B9" s="39" t="s">
        <v>93</v>
      </c>
      <c r="C9" s="39" t="s">
        <v>94</v>
      </c>
      <c r="D9" s="39">
        <v>18500</v>
      </c>
      <c r="E9" s="39">
        <v>19000</v>
      </c>
      <c r="F9" s="39">
        <v>24500</v>
      </c>
      <c r="G9" s="54">
        <f t="shared" si="0"/>
        <v>62000</v>
      </c>
    </row>
    <row r="10" spans="1:13" x14ac:dyDescent="0.3">
      <c r="B10" s="39" t="s">
        <v>89</v>
      </c>
      <c r="C10" s="39" t="s">
        <v>90</v>
      </c>
      <c r="D10" s="39">
        <v>11000</v>
      </c>
      <c r="E10" s="39">
        <v>17000</v>
      </c>
      <c r="F10" s="39">
        <v>14000</v>
      </c>
      <c r="G10" s="54">
        <f t="shared" si="0"/>
        <v>42000</v>
      </c>
    </row>
    <row r="11" spans="1:13" x14ac:dyDescent="0.3">
      <c r="B11" s="39" t="s">
        <v>91</v>
      </c>
      <c r="C11" s="39" t="s">
        <v>92</v>
      </c>
      <c r="D11" s="41">
        <v>8700</v>
      </c>
      <c r="E11" s="41">
        <v>9500</v>
      </c>
      <c r="F11" s="41">
        <v>7600</v>
      </c>
      <c r="G11" s="54">
        <f t="shared" si="0"/>
        <v>25800</v>
      </c>
    </row>
    <row r="12" spans="1:13" x14ac:dyDescent="0.3">
      <c r="B12" s="132" t="s">
        <v>95</v>
      </c>
      <c r="C12" s="38"/>
      <c r="D12" s="54">
        <f>AVERAGE(D4:D11)</f>
        <v>17487.5</v>
      </c>
      <c r="E12" s="54">
        <f t="shared" ref="E12:F12" si="1">AVERAGE(E4:E11)</f>
        <v>16250</v>
      </c>
      <c r="F12" s="54">
        <f t="shared" si="1"/>
        <v>17100</v>
      </c>
      <c r="G12" s="54">
        <f>AVERAGE(G4:G11)</f>
        <v>50837.5</v>
      </c>
    </row>
    <row r="16" spans="1:13" x14ac:dyDescent="0.3">
      <c r="B16" s="3" t="s">
        <v>83</v>
      </c>
      <c r="C16" s="3" t="s">
        <v>84</v>
      </c>
      <c r="D16" s="3" t="s">
        <v>96</v>
      </c>
    </row>
    <row r="17" spans="2:4" x14ac:dyDescent="0.3">
      <c r="B17" s="4" t="s">
        <v>97</v>
      </c>
      <c r="C17" s="4" t="s">
        <v>90</v>
      </c>
      <c r="D17" s="4">
        <v>12000</v>
      </c>
    </row>
    <row r="18" spans="2:4" x14ac:dyDescent="0.3">
      <c r="B18" s="4" t="s">
        <v>97</v>
      </c>
      <c r="C18" s="4" t="s">
        <v>92</v>
      </c>
      <c r="D18" s="4">
        <v>34000</v>
      </c>
    </row>
    <row r="19" spans="2:4" x14ac:dyDescent="0.3">
      <c r="B19" s="4" t="s">
        <v>97</v>
      </c>
      <c r="C19" s="4" t="s">
        <v>90</v>
      </c>
      <c r="D19" s="4">
        <v>76000</v>
      </c>
    </row>
    <row r="20" spans="2:4" ht="19.5" thickBot="1" x14ac:dyDescent="0.35">
      <c r="B20" s="7" t="s">
        <v>98</v>
      </c>
      <c r="C20" s="6"/>
      <c r="D20" s="7">
        <f>SUM(D17:D19)</f>
        <v>122000</v>
      </c>
    </row>
    <row r="21" spans="2:4" x14ac:dyDescent="0.3">
      <c r="B21" s="5" t="s">
        <v>99</v>
      </c>
      <c r="C21" s="5" t="s">
        <v>92</v>
      </c>
      <c r="D21" s="5">
        <v>45000</v>
      </c>
    </row>
    <row r="22" spans="2:4" x14ac:dyDescent="0.3">
      <c r="B22" s="4" t="s">
        <v>99</v>
      </c>
      <c r="C22" s="4" t="s">
        <v>94</v>
      </c>
      <c r="D22" s="4">
        <v>44000</v>
      </c>
    </row>
    <row r="23" spans="2:4" x14ac:dyDescent="0.3">
      <c r="B23" s="4" t="s">
        <v>99</v>
      </c>
      <c r="C23" s="4" t="s">
        <v>90</v>
      </c>
      <c r="D23" s="4">
        <v>2500</v>
      </c>
    </row>
    <row r="24" spans="2:4" ht="19.5" thickBot="1" x14ac:dyDescent="0.35">
      <c r="B24" s="7" t="s">
        <v>98</v>
      </c>
      <c r="C24" s="6"/>
      <c r="D24" s="7">
        <f>SUM(D21:D23)</f>
        <v>91500</v>
      </c>
    </row>
    <row r="25" spans="2:4" x14ac:dyDescent="0.3">
      <c r="B25" s="5" t="s">
        <v>100</v>
      </c>
      <c r="C25" s="5" t="s">
        <v>92</v>
      </c>
      <c r="D25" s="5">
        <v>6500</v>
      </c>
    </row>
    <row r="26" spans="2:4" x14ac:dyDescent="0.3">
      <c r="B26" s="4" t="s">
        <v>100</v>
      </c>
      <c r="C26" s="4" t="s">
        <v>92</v>
      </c>
      <c r="D26" s="4">
        <v>6501</v>
      </c>
    </row>
    <row r="27" spans="2:4" ht="19.5" thickBot="1" x14ac:dyDescent="0.35">
      <c r="B27" s="8" t="s">
        <v>98</v>
      </c>
      <c r="C27" s="6"/>
      <c r="D27" s="7">
        <f>SUM(D25:D26)</f>
        <v>13001</v>
      </c>
    </row>
  </sheetData>
  <hyperlinks>
    <hyperlink ref="A2" location="Home!A1" display="Home" xr:uid="{D69EC506-69E0-43AF-875E-9613E92FAF7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A4BE-708F-4945-BA78-AB7A777C143F}">
  <dimension ref="A1:I26"/>
  <sheetViews>
    <sheetView topLeftCell="B1" zoomScale="130" zoomScaleNormal="130" workbookViewId="0">
      <pane ySplit="1" topLeftCell="A5" activePane="bottomLeft" state="frozen"/>
      <selection pane="bottomLeft" activeCell="G4" sqref="G4"/>
    </sheetView>
  </sheetViews>
  <sheetFormatPr defaultRowHeight="18.75" x14ac:dyDescent="0.3"/>
  <cols>
    <col min="2" max="2" width="24.5" customWidth="1"/>
    <col min="6" max="6" width="14" customWidth="1"/>
  </cols>
  <sheetData>
    <row r="1" spans="1:9" s="2" customFormat="1" ht="32.65" customHeight="1" thickBot="1" x14ac:dyDescent="0.35">
      <c r="A1" s="36">
        <v>2</v>
      </c>
      <c r="B1" s="142" t="s">
        <v>101</v>
      </c>
      <c r="C1" s="142"/>
      <c r="D1" s="142"/>
      <c r="E1" s="142"/>
      <c r="F1" s="142"/>
      <c r="G1" s="142"/>
      <c r="H1" s="142"/>
    </row>
    <row r="2" spans="1:9" x14ac:dyDescent="0.3">
      <c r="A2" s="37" t="s">
        <v>2</v>
      </c>
    </row>
    <row r="3" spans="1:9" x14ac:dyDescent="0.3">
      <c r="B3" s="42" t="s">
        <v>83</v>
      </c>
      <c r="C3" s="42" t="s">
        <v>84</v>
      </c>
      <c r="D3" s="42" t="s">
        <v>96</v>
      </c>
      <c r="E3">
        <f>IF(SUM(D4:D13)&gt;10000,SUM(D4:D13),"Not enough")</f>
        <v>167000</v>
      </c>
      <c r="F3" s="3" t="s">
        <v>83</v>
      </c>
      <c r="G3" s="3" t="s">
        <v>96</v>
      </c>
      <c r="H3" s="38"/>
      <c r="I3" s="38"/>
    </row>
    <row r="4" spans="1:9" x14ac:dyDescent="0.3">
      <c r="B4" s="39" t="s">
        <v>89</v>
      </c>
      <c r="C4" s="39" t="s">
        <v>90</v>
      </c>
      <c r="D4" s="39">
        <v>18000</v>
      </c>
      <c r="E4">
        <f>IF(D4&gt;10000,5000,IF(D4&gt;=5000,3000,2000))</f>
        <v>5000</v>
      </c>
      <c r="F4" s="4" t="s">
        <v>102</v>
      </c>
      <c r="G4" s="4">
        <f>SUMIF(B4:B13,F4,D4:D13)</f>
        <v>44300</v>
      </c>
    </row>
    <row r="5" spans="1:9" x14ac:dyDescent="0.3">
      <c r="B5" s="39" t="s">
        <v>91</v>
      </c>
      <c r="C5" s="39" t="s">
        <v>92</v>
      </c>
      <c r="D5" s="39">
        <v>7400</v>
      </c>
      <c r="E5">
        <f t="shared" ref="E5:E13" si="0">IF(D5&gt;10000,5000,IF(D5&gt;=5000,3000,2000))</f>
        <v>3000</v>
      </c>
      <c r="G5">
        <f>SUMIF(B4:B13,F4,D4:D13)</f>
        <v>44300</v>
      </c>
    </row>
    <row r="6" spans="1:9" x14ac:dyDescent="0.3">
      <c r="B6" s="39" t="s">
        <v>93</v>
      </c>
      <c r="C6" s="39" t="s">
        <v>94</v>
      </c>
      <c r="D6" s="39">
        <v>32000</v>
      </c>
      <c r="E6">
        <f t="shared" si="0"/>
        <v>5000</v>
      </c>
    </row>
    <row r="7" spans="1:9" x14ac:dyDescent="0.3">
      <c r="B7" s="39" t="s">
        <v>89</v>
      </c>
      <c r="C7" s="39" t="s">
        <v>90</v>
      </c>
      <c r="D7" s="39">
        <v>26000</v>
      </c>
      <c r="E7">
        <f t="shared" si="0"/>
        <v>5000</v>
      </c>
      <c r="F7">
        <f>SUM(D4:D13)</f>
        <v>167000</v>
      </c>
    </row>
    <row r="8" spans="1:9" x14ac:dyDescent="0.3">
      <c r="B8" s="39" t="s">
        <v>91</v>
      </c>
      <c r="C8" s="39" t="s">
        <v>92</v>
      </c>
      <c r="D8" s="39">
        <v>9200</v>
      </c>
      <c r="E8">
        <f t="shared" si="0"/>
        <v>3000</v>
      </c>
      <c r="F8" t="s">
        <v>103</v>
      </c>
    </row>
    <row r="9" spans="1:9" x14ac:dyDescent="0.3">
      <c r="B9" s="39" t="s">
        <v>93</v>
      </c>
      <c r="C9" s="39" t="s">
        <v>94</v>
      </c>
      <c r="D9" s="39">
        <v>6200</v>
      </c>
      <c r="E9">
        <f t="shared" si="0"/>
        <v>3000</v>
      </c>
      <c r="F9">
        <f>SUMIF(D4:D13,F8)</f>
        <v>35000</v>
      </c>
    </row>
    <row r="10" spans="1:9" x14ac:dyDescent="0.3">
      <c r="B10" s="39" t="s">
        <v>89</v>
      </c>
      <c r="C10" s="39" t="s">
        <v>90</v>
      </c>
      <c r="D10" s="39">
        <v>29000</v>
      </c>
      <c r="E10">
        <f t="shared" si="0"/>
        <v>5000</v>
      </c>
      <c r="F10">
        <f>SUMIF(D4:D13,"&gt;10000")</f>
        <v>132000</v>
      </c>
    </row>
    <row r="11" spans="1:9" x14ac:dyDescent="0.3">
      <c r="B11" s="39" t="s">
        <v>91</v>
      </c>
      <c r="C11" s="39" t="s">
        <v>92</v>
      </c>
      <c r="D11" s="39">
        <v>6100</v>
      </c>
      <c r="E11">
        <f t="shared" si="0"/>
        <v>3000</v>
      </c>
    </row>
    <row r="12" spans="1:9" x14ac:dyDescent="0.3">
      <c r="B12" s="39" t="s">
        <v>93</v>
      </c>
      <c r="C12" s="39" t="s">
        <v>94</v>
      </c>
      <c r="D12" s="39">
        <v>6100</v>
      </c>
      <c r="E12">
        <f t="shared" si="0"/>
        <v>3000</v>
      </c>
      <c r="F12" t="s">
        <v>104</v>
      </c>
    </row>
    <row r="13" spans="1:9" x14ac:dyDescent="0.3">
      <c r="B13" s="39" t="s">
        <v>89</v>
      </c>
      <c r="C13" s="39" t="s">
        <v>90</v>
      </c>
      <c r="D13" s="39">
        <v>27000</v>
      </c>
      <c r="E13">
        <f t="shared" si="0"/>
        <v>5000</v>
      </c>
    </row>
    <row r="15" spans="1:9" x14ac:dyDescent="0.3">
      <c r="B15" t="s">
        <v>105</v>
      </c>
    </row>
    <row r="16" spans="1:9" x14ac:dyDescent="0.3">
      <c r="B16" s="3" t="s">
        <v>83</v>
      </c>
      <c r="C16" s="3" t="s">
        <v>84</v>
      </c>
      <c r="D16" s="3" t="s">
        <v>96</v>
      </c>
      <c r="F16" s="3" t="s">
        <v>83</v>
      </c>
      <c r="G16" s="3" t="s">
        <v>96</v>
      </c>
    </row>
    <row r="17" spans="2:7" x14ac:dyDescent="0.3">
      <c r="B17" s="4" t="s">
        <v>97</v>
      </c>
      <c r="C17" s="4" t="s">
        <v>90</v>
      </c>
      <c r="D17" s="4">
        <v>34000</v>
      </c>
      <c r="F17" s="4" t="s">
        <v>979</v>
      </c>
      <c r="G17" s="4">
        <f>SUMIF(B17:B26,B24,D17:D26)</f>
        <v>5600</v>
      </c>
    </row>
    <row r="18" spans="2:7" x14ac:dyDescent="0.3">
      <c r="B18" s="4" t="s">
        <v>106</v>
      </c>
      <c r="C18" s="4" t="s">
        <v>92</v>
      </c>
      <c r="D18" s="4">
        <v>5000</v>
      </c>
    </row>
    <row r="19" spans="2:7" x14ac:dyDescent="0.3">
      <c r="B19" s="4" t="s">
        <v>107</v>
      </c>
      <c r="C19" s="4" t="s">
        <v>94</v>
      </c>
      <c r="D19" s="4">
        <v>76000</v>
      </c>
    </row>
    <row r="20" spans="2:7" x14ac:dyDescent="0.3">
      <c r="B20" s="4" t="s">
        <v>108</v>
      </c>
      <c r="C20" s="4" t="s">
        <v>90</v>
      </c>
      <c r="D20" s="4">
        <v>45000</v>
      </c>
    </row>
    <row r="21" spans="2:7" x14ac:dyDescent="0.3">
      <c r="B21" s="4" t="s">
        <v>109</v>
      </c>
      <c r="C21" s="4" t="s">
        <v>92</v>
      </c>
      <c r="D21" s="4">
        <v>8700</v>
      </c>
    </row>
    <row r="22" spans="2:7" x14ac:dyDescent="0.3">
      <c r="B22" s="4" t="s">
        <v>110</v>
      </c>
      <c r="C22" s="4" t="s">
        <v>94</v>
      </c>
      <c r="D22" s="4">
        <v>5600</v>
      </c>
    </row>
    <row r="23" spans="2:7" x14ac:dyDescent="0.3">
      <c r="B23" s="4" t="s">
        <v>108</v>
      </c>
      <c r="C23" s="4" t="s">
        <v>90</v>
      </c>
      <c r="D23" s="4">
        <v>45000</v>
      </c>
    </row>
    <row r="24" spans="2:7" x14ac:dyDescent="0.3">
      <c r="B24" s="4" t="s">
        <v>99</v>
      </c>
      <c r="C24" s="4" t="s">
        <v>92</v>
      </c>
      <c r="D24" s="4">
        <v>5600</v>
      </c>
    </row>
    <row r="25" spans="2:7" x14ac:dyDescent="0.3">
      <c r="B25" s="4" t="s">
        <v>111</v>
      </c>
      <c r="C25" s="4" t="s">
        <v>94</v>
      </c>
      <c r="D25" s="4">
        <v>5600</v>
      </c>
    </row>
    <row r="26" spans="2:7" x14ac:dyDescent="0.3">
      <c r="B26" s="4" t="s">
        <v>97</v>
      </c>
      <c r="C26" s="4" t="s">
        <v>90</v>
      </c>
      <c r="D26" s="4">
        <v>45000</v>
      </c>
    </row>
  </sheetData>
  <mergeCells count="1">
    <mergeCell ref="B1:H1"/>
  </mergeCells>
  <hyperlinks>
    <hyperlink ref="A2" location="'Home'!A1" display="Home" xr:uid="{CC29C04B-1B49-419C-ADB3-39989E34370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043E-8DEC-47B9-946D-AF80D1CE9C34}">
  <dimension ref="A1:K27"/>
  <sheetViews>
    <sheetView zoomScale="130" zoomScaleNormal="130" workbookViewId="0">
      <pane ySplit="1" topLeftCell="A14" activePane="bottomLeft" state="frozen"/>
      <selection pane="bottomLeft" activeCell="F18" sqref="F18"/>
    </sheetView>
  </sheetViews>
  <sheetFormatPr defaultRowHeight="18.75" x14ac:dyDescent="0.3"/>
  <cols>
    <col min="2" max="2" width="14" customWidth="1"/>
    <col min="6" max="6" width="14" customWidth="1"/>
  </cols>
  <sheetData>
    <row r="1" spans="1:11" s="2" customFormat="1" ht="32.65" customHeight="1" thickBot="1" x14ac:dyDescent="0.35">
      <c r="A1" s="36">
        <v>3</v>
      </c>
      <c r="B1" s="1" t="s">
        <v>112</v>
      </c>
    </row>
    <row r="2" spans="1:11" x14ac:dyDescent="0.3">
      <c r="A2" s="37" t="s">
        <v>2</v>
      </c>
    </row>
    <row r="3" spans="1:11" x14ac:dyDescent="0.3">
      <c r="B3" s="3" t="s">
        <v>83</v>
      </c>
      <c r="C3" s="3" t="s">
        <v>84</v>
      </c>
      <c r="D3" s="3" t="s">
        <v>96</v>
      </c>
      <c r="F3" s="3" t="s">
        <v>83</v>
      </c>
      <c r="G3" s="3" t="s">
        <v>96</v>
      </c>
      <c r="J3" s="38"/>
      <c r="K3" s="38"/>
    </row>
    <row r="4" spans="1:11" x14ac:dyDescent="0.3">
      <c r="B4" s="39" t="s">
        <v>89</v>
      </c>
      <c r="C4" s="39" t="s">
        <v>90</v>
      </c>
      <c r="D4" s="39">
        <v>19500</v>
      </c>
      <c r="F4" s="4" t="s">
        <v>113</v>
      </c>
      <c r="G4" s="4">
        <f>SUMIF(B4:B13,F4,D4:D13)</f>
        <v>6000</v>
      </c>
      <c r="I4" t="str">
        <f t="array" ref="I4:I7">_xlfn.UNIQUE(B4:B13)</f>
        <v>Tablet</v>
      </c>
    </row>
    <row r="5" spans="1:11" x14ac:dyDescent="0.3">
      <c r="B5" s="39" t="s">
        <v>91</v>
      </c>
      <c r="C5" s="39" t="s">
        <v>92</v>
      </c>
      <c r="D5" s="39">
        <v>6400</v>
      </c>
      <c r="I5" t="str">
        <v>Speaker</v>
      </c>
    </row>
    <row r="6" spans="1:11" x14ac:dyDescent="0.3">
      <c r="B6" s="39" t="s">
        <v>93</v>
      </c>
      <c r="C6" s="39" t="s">
        <v>94</v>
      </c>
      <c r="D6" s="39">
        <v>28500</v>
      </c>
      <c r="I6" t="str">
        <v>Webcam</v>
      </c>
    </row>
    <row r="7" spans="1:11" x14ac:dyDescent="0.3">
      <c r="B7" s="39" t="s">
        <v>89</v>
      </c>
      <c r="C7" s="39" t="s">
        <v>90</v>
      </c>
      <c r="D7" s="39">
        <v>31000</v>
      </c>
      <c r="I7" t="str">
        <v>Router</v>
      </c>
    </row>
    <row r="8" spans="1:11" x14ac:dyDescent="0.3">
      <c r="B8" s="39" t="s">
        <v>91</v>
      </c>
      <c r="C8" s="39" t="s">
        <v>92</v>
      </c>
      <c r="D8" s="39">
        <v>7900</v>
      </c>
    </row>
    <row r="9" spans="1:11" x14ac:dyDescent="0.3">
      <c r="B9" s="39" t="s">
        <v>93</v>
      </c>
      <c r="C9" s="39" t="s">
        <v>94</v>
      </c>
      <c r="D9" s="39">
        <v>7200</v>
      </c>
    </row>
    <row r="10" spans="1:11" x14ac:dyDescent="0.3">
      <c r="B10" s="39" t="s">
        <v>89</v>
      </c>
      <c r="C10" s="39" t="s">
        <v>90</v>
      </c>
      <c r="D10" s="39">
        <v>27000</v>
      </c>
    </row>
    <row r="11" spans="1:11" x14ac:dyDescent="0.3">
      <c r="B11" s="39" t="s">
        <v>91</v>
      </c>
      <c r="C11" s="39" t="s">
        <v>92</v>
      </c>
      <c r="D11" s="39">
        <v>6100</v>
      </c>
    </row>
    <row r="12" spans="1:11" x14ac:dyDescent="0.3">
      <c r="B12" s="39" t="s">
        <v>113</v>
      </c>
      <c r="C12" s="39" t="s">
        <v>94</v>
      </c>
      <c r="D12" s="39">
        <v>6000</v>
      </c>
    </row>
    <row r="13" spans="1:11" x14ac:dyDescent="0.3">
      <c r="B13" s="39" t="s">
        <v>89</v>
      </c>
      <c r="C13" s="39" t="s">
        <v>90</v>
      </c>
      <c r="D13" s="39">
        <v>25000</v>
      </c>
    </row>
    <row r="17" spans="2:7" x14ac:dyDescent="0.3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96</v>
      </c>
    </row>
    <row r="18" spans="2:7" x14ac:dyDescent="0.3">
      <c r="B18" s="4" t="s">
        <v>97</v>
      </c>
      <c r="C18" s="4" t="s">
        <v>90</v>
      </c>
      <c r="D18" s="4">
        <v>34000</v>
      </c>
      <c r="F18" s="4" t="s">
        <v>106</v>
      </c>
      <c r="G18" s="4">
        <f>SUMIF(B18:B27,F18,D18:D27)</f>
        <v>5000</v>
      </c>
    </row>
    <row r="19" spans="2:7" x14ac:dyDescent="0.3">
      <c r="B19" s="4" t="s">
        <v>106</v>
      </c>
      <c r="C19" s="4" t="s">
        <v>92</v>
      </c>
      <c r="D19" s="4">
        <v>5000</v>
      </c>
    </row>
    <row r="20" spans="2:7" x14ac:dyDescent="0.3">
      <c r="B20" s="4" t="s">
        <v>114</v>
      </c>
      <c r="C20" s="4" t="s">
        <v>94</v>
      </c>
      <c r="D20" s="4">
        <v>76000</v>
      </c>
    </row>
    <row r="21" spans="2:7" x14ac:dyDescent="0.3">
      <c r="B21" s="4" t="s">
        <v>108</v>
      </c>
      <c r="C21" s="4" t="s">
        <v>90</v>
      </c>
      <c r="D21" s="4">
        <v>45000</v>
      </c>
    </row>
    <row r="22" spans="2:7" x14ac:dyDescent="0.3">
      <c r="B22" s="4" t="s">
        <v>109</v>
      </c>
      <c r="C22" s="4" t="s">
        <v>92</v>
      </c>
      <c r="D22" s="4">
        <v>8700</v>
      </c>
    </row>
    <row r="23" spans="2:7" x14ac:dyDescent="0.3">
      <c r="B23" s="4" t="s">
        <v>114</v>
      </c>
      <c r="C23" s="4" t="s">
        <v>94</v>
      </c>
      <c r="D23" s="4">
        <v>5600</v>
      </c>
    </row>
    <row r="24" spans="2:7" x14ac:dyDescent="0.3">
      <c r="B24" s="4" t="s">
        <v>108</v>
      </c>
      <c r="C24" s="4" t="s">
        <v>90</v>
      </c>
      <c r="D24" s="4">
        <v>45000</v>
      </c>
    </row>
    <row r="25" spans="2:7" x14ac:dyDescent="0.3">
      <c r="B25" s="4" t="s">
        <v>99</v>
      </c>
      <c r="C25" s="4" t="s">
        <v>92</v>
      </c>
      <c r="D25" s="4">
        <v>5600</v>
      </c>
    </row>
    <row r="26" spans="2:7" x14ac:dyDescent="0.3">
      <c r="B26" s="4" t="s">
        <v>111</v>
      </c>
      <c r="C26" s="4" t="s">
        <v>94</v>
      </c>
      <c r="D26" s="4">
        <v>5600</v>
      </c>
    </row>
    <row r="27" spans="2:7" x14ac:dyDescent="0.3">
      <c r="B27" s="4" t="s">
        <v>97</v>
      </c>
      <c r="C27" s="4" t="s">
        <v>90</v>
      </c>
      <c r="D27" s="4">
        <v>45000</v>
      </c>
    </row>
  </sheetData>
  <dataValidations count="1">
    <dataValidation type="list" allowBlank="1" showInputMessage="1" showErrorMessage="1" sqref="F4" xr:uid="{C3263F9A-303C-4EAC-B7D4-AE305AB148C8}">
      <formula1>$I$4:$I$7</formula1>
    </dataValidation>
  </dataValidations>
  <hyperlinks>
    <hyperlink ref="A2" location="'Home'!A1" display="Home" xr:uid="{D1720E38-4F1F-46EE-801C-9CADD4C2AB5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5060-3C0D-4399-A8C0-60B6D5A97429}">
  <dimension ref="A1:L27"/>
  <sheetViews>
    <sheetView zoomScale="130" zoomScaleNormal="130" workbookViewId="0">
      <pane ySplit="1" topLeftCell="A11" activePane="bottomLeft" state="frozen"/>
      <selection pane="bottomLeft" activeCell="H19" sqref="H19"/>
    </sheetView>
  </sheetViews>
  <sheetFormatPr defaultRowHeight="18.75" x14ac:dyDescent="0.3"/>
  <cols>
    <col min="2" max="2" width="24.59765625" bestFit="1" customWidth="1"/>
    <col min="6" max="6" width="14" customWidth="1"/>
  </cols>
  <sheetData>
    <row r="1" spans="1:12" s="2" customFormat="1" ht="32.65" customHeight="1" thickBot="1" x14ac:dyDescent="0.35">
      <c r="A1" s="36">
        <v>4</v>
      </c>
      <c r="B1" s="1" t="s">
        <v>115</v>
      </c>
    </row>
    <row r="2" spans="1:12" x14ac:dyDescent="0.3">
      <c r="A2" s="37" t="s">
        <v>2</v>
      </c>
    </row>
    <row r="3" spans="1:12" x14ac:dyDescent="0.3">
      <c r="B3" s="42" t="s">
        <v>83</v>
      </c>
      <c r="C3" s="3" t="s">
        <v>84</v>
      </c>
      <c r="D3" s="42" t="s">
        <v>96</v>
      </c>
      <c r="F3" s="3" t="s">
        <v>83</v>
      </c>
      <c r="G3" s="3" t="s">
        <v>84</v>
      </c>
      <c r="H3" s="3" t="s">
        <v>96</v>
      </c>
      <c r="J3" s="38"/>
      <c r="K3" s="38"/>
      <c r="L3" s="38"/>
    </row>
    <row r="4" spans="1:12" x14ac:dyDescent="0.3">
      <c r="B4" s="39" t="s">
        <v>116</v>
      </c>
      <c r="C4" s="60" t="s">
        <v>90</v>
      </c>
      <c r="D4" s="39">
        <v>18500</v>
      </c>
      <c r="F4" s="39" t="s">
        <v>116</v>
      </c>
      <c r="G4" s="4" t="s">
        <v>117</v>
      </c>
      <c r="H4" s="4">
        <f>SUMIFS(D4:D13,B4:B13,F4,C4:C13,G4)</f>
        <v>52000</v>
      </c>
    </row>
    <row r="5" spans="1:12" x14ac:dyDescent="0.3">
      <c r="B5" s="39" t="s">
        <v>118</v>
      </c>
      <c r="C5" s="60" t="s">
        <v>94</v>
      </c>
      <c r="D5" s="39">
        <v>7200</v>
      </c>
      <c r="H5">
        <f>SUMIFS(D4:D13,B4:B13,F4,C4:C13,G4)</f>
        <v>52000</v>
      </c>
    </row>
    <row r="6" spans="1:12" x14ac:dyDescent="0.3">
      <c r="B6" s="39" t="s">
        <v>119</v>
      </c>
      <c r="C6" s="60" t="s">
        <v>94</v>
      </c>
      <c r="D6" s="39">
        <v>30500</v>
      </c>
      <c r="H6">
        <f>SUMIFS(D4:D13,B4:B13,F4,C4:C13,G4)</f>
        <v>52000</v>
      </c>
    </row>
    <row r="7" spans="1:12" x14ac:dyDescent="0.3">
      <c r="B7" s="39" t="s">
        <v>116</v>
      </c>
      <c r="C7" s="60" t="s">
        <v>90</v>
      </c>
      <c r="D7" s="39">
        <v>26000</v>
      </c>
    </row>
    <row r="8" spans="1:12" x14ac:dyDescent="0.3">
      <c r="B8" s="39" t="s">
        <v>118</v>
      </c>
      <c r="C8" s="60" t="s">
        <v>92</v>
      </c>
      <c r="D8" s="39">
        <v>8900</v>
      </c>
    </row>
    <row r="9" spans="1:12" x14ac:dyDescent="0.3">
      <c r="B9" s="39" t="s">
        <v>119</v>
      </c>
      <c r="C9" s="60" t="s">
        <v>94</v>
      </c>
      <c r="D9" s="39">
        <v>6800</v>
      </c>
    </row>
    <row r="10" spans="1:12" x14ac:dyDescent="0.3">
      <c r="B10" s="39" t="s">
        <v>116</v>
      </c>
      <c r="C10" s="60" t="s">
        <v>117</v>
      </c>
      <c r="D10" s="39">
        <v>24500</v>
      </c>
    </row>
    <row r="11" spans="1:12" x14ac:dyDescent="0.3">
      <c r="B11" s="39" t="s">
        <v>118</v>
      </c>
      <c r="C11" s="60" t="s">
        <v>94</v>
      </c>
      <c r="D11" s="39">
        <v>6400</v>
      </c>
    </row>
    <row r="12" spans="1:12" x14ac:dyDescent="0.3">
      <c r="B12" s="39" t="s">
        <v>120</v>
      </c>
      <c r="C12" s="60" t="s">
        <v>94</v>
      </c>
      <c r="D12" s="39">
        <v>6000</v>
      </c>
    </row>
    <row r="13" spans="1:12" x14ac:dyDescent="0.3">
      <c r="B13" s="39" t="s">
        <v>116</v>
      </c>
      <c r="C13" s="60" t="s">
        <v>117</v>
      </c>
      <c r="D13" s="39">
        <v>27500</v>
      </c>
    </row>
    <row r="17" spans="2:12" x14ac:dyDescent="0.3">
      <c r="B17" s="40" t="s">
        <v>83</v>
      </c>
      <c r="C17" s="40" t="s">
        <v>84</v>
      </c>
      <c r="D17" s="40" t="s">
        <v>96</v>
      </c>
      <c r="F17" s="42" t="s">
        <v>83</v>
      </c>
      <c r="G17" s="3" t="s">
        <v>84</v>
      </c>
      <c r="H17" s="3" t="s">
        <v>96</v>
      </c>
      <c r="J17" s="38"/>
      <c r="K17" s="38"/>
      <c r="L17" s="38"/>
    </row>
    <row r="18" spans="2:12" x14ac:dyDescent="0.3">
      <c r="B18" s="39" t="s">
        <v>121</v>
      </c>
      <c r="C18" s="39" t="s">
        <v>90</v>
      </c>
      <c r="D18" s="39">
        <v>21000</v>
      </c>
      <c r="F18" s="39" t="s">
        <v>122</v>
      </c>
      <c r="G18" s="43" t="s">
        <v>94</v>
      </c>
      <c r="H18" s="4">
        <f>SUMIFS(D18:D27,B18:B27,F18,C18:C27,G18)</f>
        <v>0</v>
      </c>
    </row>
    <row r="19" spans="2:12" x14ac:dyDescent="0.3">
      <c r="B19" s="39" t="s">
        <v>123</v>
      </c>
      <c r="C19" s="39" t="s">
        <v>92</v>
      </c>
      <c r="D19" s="39">
        <v>6200</v>
      </c>
    </row>
    <row r="20" spans="2:12" x14ac:dyDescent="0.3">
      <c r="B20" s="39" t="s">
        <v>124</v>
      </c>
      <c r="C20" s="39" t="s">
        <v>94</v>
      </c>
      <c r="D20" s="39">
        <v>31500</v>
      </c>
    </row>
    <row r="21" spans="2:12" x14ac:dyDescent="0.3">
      <c r="B21" s="39" t="s">
        <v>121</v>
      </c>
      <c r="C21" s="39" t="s">
        <v>90</v>
      </c>
      <c r="D21" s="39">
        <v>29000</v>
      </c>
    </row>
    <row r="22" spans="2:12" x14ac:dyDescent="0.3">
      <c r="B22" s="39" t="s">
        <v>122</v>
      </c>
      <c r="C22" s="39" t="s">
        <v>92</v>
      </c>
      <c r="D22" s="39">
        <v>9400</v>
      </c>
    </row>
    <row r="23" spans="2:12" x14ac:dyDescent="0.3">
      <c r="B23" s="39" t="s">
        <v>124</v>
      </c>
      <c r="C23" s="39" t="s">
        <v>94</v>
      </c>
      <c r="D23" s="39">
        <v>7200</v>
      </c>
    </row>
    <row r="24" spans="2:12" x14ac:dyDescent="0.3">
      <c r="B24" s="39" t="s">
        <v>121</v>
      </c>
      <c r="C24" s="39" t="s">
        <v>90</v>
      </c>
      <c r="D24" s="39">
        <v>27500</v>
      </c>
    </row>
    <row r="25" spans="2:12" x14ac:dyDescent="0.3">
      <c r="B25" s="39" t="s">
        <v>122</v>
      </c>
      <c r="C25" s="39" t="s">
        <v>92</v>
      </c>
      <c r="D25" s="39">
        <v>6800</v>
      </c>
    </row>
    <row r="26" spans="2:12" x14ac:dyDescent="0.3">
      <c r="B26" s="39" t="s">
        <v>125</v>
      </c>
      <c r="C26" s="39" t="s">
        <v>94</v>
      </c>
      <c r="D26" s="39">
        <v>6100</v>
      </c>
    </row>
    <row r="27" spans="2:12" x14ac:dyDescent="0.3">
      <c r="B27" s="39" t="s">
        <v>121</v>
      </c>
      <c r="C27" s="39" t="s">
        <v>90</v>
      </c>
      <c r="D27" s="39">
        <v>25500</v>
      </c>
    </row>
  </sheetData>
  <dataValidations count="2">
    <dataValidation type="list" allowBlank="1" showInputMessage="1" showErrorMessage="1" sqref="F4" xr:uid="{87B84DE1-2E94-4C84-A0A6-1444A56AB958}">
      <formula1>$B$4:$B$13</formula1>
    </dataValidation>
    <dataValidation type="list" allowBlank="1" showInputMessage="1" showErrorMessage="1" sqref="G4" xr:uid="{438D5043-0E19-4D55-AFFD-6D483BCC3F4E}">
      <formula1>$C$4:$C$13</formula1>
    </dataValidation>
  </dataValidations>
  <hyperlinks>
    <hyperlink ref="A2" location="'Home'!A1" display="Home" xr:uid="{7C8F4DFE-AF2B-4F00-8136-2D09CD97061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3E5D-DDE2-4E2D-8005-7F0453929CED}">
  <dimension ref="A1:K25"/>
  <sheetViews>
    <sheetView zoomScale="130" zoomScaleNormal="130" workbookViewId="0">
      <pane ySplit="1" topLeftCell="A8" activePane="bottomLeft" state="frozen"/>
      <selection pane="bottomLeft" activeCell="C16" sqref="C16"/>
    </sheetView>
  </sheetViews>
  <sheetFormatPr defaultRowHeight="18.75" x14ac:dyDescent="0.3"/>
  <cols>
    <col min="2" max="2" width="14" customWidth="1"/>
    <col min="4" max="5" width="9.5" customWidth="1"/>
    <col min="6" max="6" width="13.8984375" bestFit="1" customWidth="1"/>
  </cols>
  <sheetData>
    <row r="1" spans="1:11" s="2" customFormat="1" ht="32.65" customHeight="1" thickBot="1" x14ac:dyDescent="0.35">
      <c r="A1" s="36">
        <v>5</v>
      </c>
      <c r="B1" s="1" t="s">
        <v>126</v>
      </c>
    </row>
    <row r="2" spans="1:11" x14ac:dyDescent="0.3">
      <c r="A2" s="37" t="s">
        <v>2</v>
      </c>
    </row>
    <row r="3" spans="1:11" x14ac:dyDescent="0.3">
      <c r="B3" s="42" t="s">
        <v>83</v>
      </c>
      <c r="C3" s="42" t="s">
        <v>84</v>
      </c>
      <c r="D3" s="42" t="s">
        <v>127</v>
      </c>
      <c r="E3" s="3" t="s">
        <v>128</v>
      </c>
      <c r="F3" s="3" t="s">
        <v>96</v>
      </c>
      <c r="H3" s="38"/>
      <c r="I3" s="38"/>
      <c r="J3" s="38"/>
      <c r="K3" s="38"/>
    </row>
    <row r="4" spans="1:11" x14ac:dyDescent="0.3">
      <c r="B4" s="39" t="s">
        <v>129</v>
      </c>
      <c r="C4" s="61" t="s">
        <v>90</v>
      </c>
      <c r="D4" s="39">
        <v>15</v>
      </c>
      <c r="E4" s="45">
        <v>450</v>
      </c>
      <c r="F4" s="9">
        <f>PRODUCT(D4:E4)</f>
        <v>6750</v>
      </c>
    </row>
    <row r="5" spans="1:11" x14ac:dyDescent="0.3">
      <c r="B5" s="39" t="s">
        <v>130</v>
      </c>
      <c r="C5" s="61" t="s">
        <v>94</v>
      </c>
      <c r="D5" s="39">
        <v>35</v>
      </c>
      <c r="E5" s="45">
        <v>249</v>
      </c>
      <c r="F5" s="9">
        <f t="shared" ref="F5:F13" si="0">PRODUCT(D5:E5)</f>
        <v>8715</v>
      </c>
    </row>
    <row r="6" spans="1:11" x14ac:dyDescent="0.3">
      <c r="B6" s="39" t="s">
        <v>131</v>
      </c>
      <c r="C6" s="61" t="s">
        <v>94</v>
      </c>
      <c r="D6" s="39">
        <v>45</v>
      </c>
      <c r="E6" s="45">
        <v>4400</v>
      </c>
      <c r="F6" s="141">
        <f t="shared" si="0"/>
        <v>198000</v>
      </c>
    </row>
    <row r="7" spans="1:11" x14ac:dyDescent="0.3">
      <c r="B7" s="39" t="s">
        <v>129</v>
      </c>
      <c r="C7" s="61" t="s">
        <v>90</v>
      </c>
      <c r="D7" s="39">
        <v>250</v>
      </c>
      <c r="E7" s="45">
        <v>700</v>
      </c>
      <c r="F7" s="9">
        <f t="shared" si="0"/>
        <v>175000</v>
      </c>
    </row>
    <row r="8" spans="1:11" x14ac:dyDescent="0.3">
      <c r="B8" s="39" t="s">
        <v>130</v>
      </c>
      <c r="C8" s="61" t="s">
        <v>92</v>
      </c>
      <c r="D8" s="39">
        <v>8</v>
      </c>
      <c r="E8" s="45">
        <v>260</v>
      </c>
      <c r="F8" s="9">
        <f t="shared" si="0"/>
        <v>2080</v>
      </c>
    </row>
    <row r="9" spans="1:11" x14ac:dyDescent="0.3">
      <c r="B9" s="39" t="s">
        <v>131</v>
      </c>
      <c r="C9" s="61" t="s">
        <v>94</v>
      </c>
      <c r="D9" s="39">
        <v>38</v>
      </c>
      <c r="E9" s="45">
        <v>5450</v>
      </c>
      <c r="F9" s="9">
        <f>PRODUCT(D9:E9)</f>
        <v>207100</v>
      </c>
    </row>
    <row r="10" spans="1:11" x14ac:dyDescent="0.3">
      <c r="B10" s="39" t="s">
        <v>129</v>
      </c>
      <c r="C10" s="61" t="s">
        <v>117</v>
      </c>
      <c r="D10" s="39">
        <v>90</v>
      </c>
      <c r="E10" s="45">
        <v>5600</v>
      </c>
      <c r="F10" s="9">
        <f t="shared" si="0"/>
        <v>504000</v>
      </c>
    </row>
    <row r="11" spans="1:11" x14ac:dyDescent="0.3">
      <c r="B11" s="39" t="s">
        <v>130</v>
      </c>
      <c r="C11" s="61" t="s">
        <v>94</v>
      </c>
      <c r="D11" s="39">
        <v>60</v>
      </c>
      <c r="E11" s="45">
        <v>205</v>
      </c>
      <c r="F11" s="9">
        <f t="shared" si="0"/>
        <v>12300</v>
      </c>
    </row>
    <row r="12" spans="1:11" x14ac:dyDescent="0.3">
      <c r="B12" s="39" t="s">
        <v>132</v>
      </c>
      <c r="C12" s="61" t="s">
        <v>94</v>
      </c>
      <c r="D12" s="39">
        <v>12</v>
      </c>
      <c r="E12" s="45">
        <v>3900</v>
      </c>
      <c r="F12" s="9">
        <f t="shared" si="0"/>
        <v>46800</v>
      </c>
    </row>
    <row r="13" spans="1:11" x14ac:dyDescent="0.3">
      <c r="B13" s="39" t="s">
        <v>129</v>
      </c>
      <c r="C13" s="61" t="s">
        <v>117</v>
      </c>
      <c r="D13" s="39">
        <v>10</v>
      </c>
      <c r="E13" s="45">
        <v>280</v>
      </c>
      <c r="F13" s="9">
        <f t="shared" si="0"/>
        <v>2800</v>
      </c>
    </row>
    <row r="16" spans="1:11" x14ac:dyDescent="0.3">
      <c r="B16" s="10" t="s">
        <v>133</v>
      </c>
    </row>
    <row r="17" spans="2:2" x14ac:dyDescent="0.3">
      <c r="B17">
        <v>2</v>
      </c>
    </row>
    <row r="18" spans="2:2" x14ac:dyDescent="0.3">
      <c r="B18">
        <v>4</v>
      </c>
    </row>
    <row r="19" spans="2:2" x14ac:dyDescent="0.3">
      <c r="B19">
        <v>5</v>
      </c>
    </row>
    <row r="20" spans="2:2" x14ac:dyDescent="0.3">
      <c r="B20">
        <v>7</v>
      </c>
    </row>
    <row r="21" spans="2:2" x14ac:dyDescent="0.3">
      <c r="B21">
        <v>5</v>
      </c>
    </row>
    <row r="22" spans="2:2" x14ac:dyDescent="0.3">
      <c r="B22">
        <v>4</v>
      </c>
    </row>
    <row r="23" spans="2:2" x14ac:dyDescent="0.3">
      <c r="B23">
        <v>5</v>
      </c>
    </row>
    <row r="24" spans="2:2" x14ac:dyDescent="0.3">
      <c r="B24">
        <v>7</v>
      </c>
    </row>
    <row r="25" spans="2:2" x14ac:dyDescent="0.3">
      <c r="B25" s="11">
        <f>PRODUCT(B17:B24)</f>
        <v>196000</v>
      </c>
    </row>
  </sheetData>
  <hyperlinks>
    <hyperlink ref="A2" location="'Home'!A1" display="Home" xr:uid="{9833B2C7-7AE6-4E29-8706-C549C6F58DA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8F51-4590-484F-85B0-8BAFCFD76313}">
  <dimension ref="A1:K14"/>
  <sheetViews>
    <sheetView zoomScale="130" zoomScaleNormal="130" workbookViewId="0">
      <pane ySplit="1" topLeftCell="A2" activePane="bottomLeft" state="frozen"/>
      <selection pane="bottomLeft" activeCell="F14" sqref="F14"/>
    </sheetView>
  </sheetViews>
  <sheetFormatPr defaultRowHeight="18.75" x14ac:dyDescent="0.3"/>
  <cols>
    <col min="2" max="2" width="16.296875" customWidth="1"/>
    <col min="4" max="5" width="9.5" customWidth="1"/>
    <col min="6" max="6" width="11.19921875" customWidth="1"/>
  </cols>
  <sheetData>
    <row r="1" spans="1:11" s="2" customFormat="1" ht="32.65" customHeight="1" thickBot="1" x14ac:dyDescent="0.35">
      <c r="A1" s="36">
        <v>6</v>
      </c>
      <c r="B1" s="1" t="s">
        <v>134</v>
      </c>
    </row>
    <row r="2" spans="1:11" x14ac:dyDescent="0.3">
      <c r="A2" s="37" t="s">
        <v>2</v>
      </c>
    </row>
    <row r="3" spans="1:11" x14ac:dyDescent="0.3">
      <c r="B3" s="42" t="s">
        <v>83</v>
      </c>
      <c r="C3" s="3" t="s">
        <v>84</v>
      </c>
      <c r="D3" s="3" t="s">
        <v>127</v>
      </c>
      <c r="E3" s="3" t="s">
        <v>128</v>
      </c>
      <c r="F3" s="3" t="s">
        <v>96</v>
      </c>
      <c r="H3" s="38"/>
      <c r="I3" s="38"/>
      <c r="J3" s="38"/>
      <c r="K3" s="38"/>
    </row>
    <row r="4" spans="1:11" x14ac:dyDescent="0.3">
      <c r="B4" s="39" t="s">
        <v>135</v>
      </c>
      <c r="C4" s="61" t="s">
        <v>90</v>
      </c>
      <c r="D4" s="39">
        <v>12</v>
      </c>
      <c r="E4" s="46">
        <v>300</v>
      </c>
      <c r="F4" s="46">
        <f>D4*E4</f>
        <v>3600</v>
      </c>
    </row>
    <row r="5" spans="1:11" x14ac:dyDescent="0.3">
      <c r="B5" s="39" t="s">
        <v>136</v>
      </c>
      <c r="C5" s="61" t="s">
        <v>94</v>
      </c>
      <c r="D5" s="39">
        <v>30</v>
      </c>
      <c r="E5" s="46">
        <v>249</v>
      </c>
      <c r="F5" s="46">
        <f t="shared" ref="F5:F12" si="0">D5*E5</f>
        <v>7470</v>
      </c>
    </row>
    <row r="6" spans="1:11" x14ac:dyDescent="0.3">
      <c r="B6" s="39" t="s">
        <v>137</v>
      </c>
      <c r="C6" s="61" t="s">
        <v>94</v>
      </c>
      <c r="D6" s="39">
        <v>450</v>
      </c>
      <c r="E6" s="46">
        <v>4400</v>
      </c>
      <c r="F6" s="46">
        <f t="shared" si="0"/>
        <v>1980000</v>
      </c>
    </row>
    <row r="7" spans="1:11" x14ac:dyDescent="0.3">
      <c r="B7" s="39" t="s">
        <v>135</v>
      </c>
      <c r="C7" s="61" t="s">
        <v>90</v>
      </c>
      <c r="D7" s="39">
        <v>18</v>
      </c>
      <c r="E7" s="46">
        <v>300</v>
      </c>
      <c r="F7" s="46">
        <f t="shared" si="0"/>
        <v>5400</v>
      </c>
    </row>
    <row r="8" spans="1:11" x14ac:dyDescent="0.3">
      <c r="B8" s="39" t="s">
        <v>136</v>
      </c>
      <c r="C8" s="61" t="s">
        <v>92</v>
      </c>
      <c r="D8" s="39">
        <v>6</v>
      </c>
      <c r="E8" s="46">
        <v>260</v>
      </c>
      <c r="F8" s="46">
        <f t="shared" si="0"/>
        <v>1560</v>
      </c>
    </row>
    <row r="9" spans="1:11" x14ac:dyDescent="0.3">
      <c r="B9" s="39" t="s">
        <v>137</v>
      </c>
      <c r="C9" s="61" t="s">
        <v>94</v>
      </c>
      <c r="D9" s="39">
        <v>42</v>
      </c>
      <c r="E9" s="46">
        <v>5400</v>
      </c>
      <c r="F9" s="46">
        <f t="shared" si="0"/>
        <v>226800</v>
      </c>
    </row>
    <row r="10" spans="1:11" x14ac:dyDescent="0.3">
      <c r="B10" s="39" t="s">
        <v>135</v>
      </c>
      <c r="C10" s="61" t="s">
        <v>117</v>
      </c>
      <c r="D10" s="39">
        <v>95</v>
      </c>
      <c r="E10" s="46">
        <v>5600</v>
      </c>
      <c r="F10" s="46">
        <f t="shared" si="0"/>
        <v>532000</v>
      </c>
    </row>
    <row r="11" spans="1:11" x14ac:dyDescent="0.3">
      <c r="B11" s="39" t="s">
        <v>136</v>
      </c>
      <c r="C11" s="61" t="s">
        <v>94</v>
      </c>
      <c r="D11" s="39">
        <v>55</v>
      </c>
      <c r="E11" s="46">
        <v>200</v>
      </c>
      <c r="F11" s="46">
        <f t="shared" si="0"/>
        <v>11000</v>
      </c>
    </row>
    <row r="12" spans="1:11" x14ac:dyDescent="0.3">
      <c r="B12" s="39" t="s">
        <v>138</v>
      </c>
      <c r="C12" s="61" t="s">
        <v>94</v>
      </c>
      <c r="D12" s="39">
        <v>15</v>
      </c>
      <c r="E12" s="46">
        <v>3700</v>
      </c>
      <c r="F12" s="46">
        <f t="shared" si="0"/>
        <v>55500</v>
      </c>
    </row>
    <row r="14" spans="1:11" x14ac:dyDescent="0.3">
      <c r="D14" s="143" t="s">
        <v>139</v>
      </c>
      <c r="E14" s="144"/>
      <c r="F14" s="9">
        <f>SUMPRODUCT(D4:D12,E4:E12)</f>
        <v>2823330</v>
      </c>
    </row>
  </sheetData>
  <mergeCells count="1">
    <mergeCell ref="D14:E14"/>
  </mergeCells>
  <hyperlinks>
    <hyperlink ref="A2" location="Home!A1" display="Home" xr:uid="{E5E0ED57-0F38-4916-977A-2DB7B027917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F0DB-2717-47DB-9444-4FC336DC34AD}">
  <dimension ref="A1:H12"/>
  <sheetViews>
    <sheetView zoomScale="130" zoomScaleNormal="130" workbookViewId="0">
      <pane ySplit="1" topLeftCell="A2" activePane="bottomLeft" state="frozen"/>
      <selection pane="bottomLeft" activeCell="F7" sqref="F7"/>
    </sheetView>
  </sheetViews>
  <sheetFormatPr defaultRowHeight="18.75" x14ac:dyDescent="0.3"/>
  <cols>
    <col min="2" max="2" width="14" style="13" customWidth="1"/>
    <col min="3" max="3" width="13.296875" customWidth="1"/>
    <col min="5" max="5" width="12.796875" customWidth="1"/>
  </cols>
  <sheetData>
    <row r="1" spans="1:8" s="2" customFormat="1" ht="32.65" customHeight="1" thickBot="1" x14ac:dyDescent="0.35">
      <c r="A1" s="36">
        <v>7</v>
      </c>
      <c r="B1" s="138" t="s">
        <v>140</v>
      </c>
    </row>
    <row r="2" spans="1:8" x14ac:dyDescent="0.3">
      <c r="A2" s="37" t="s">
        <v>2</v>
      </c>
    </row>
    <row r="3" spans="1:8" x14ac:dyDescent="0.3">
      <c r="B3" s="48" t="s">
        <v>141</v>
      </c>
      <c r="C3" s="42" t="s">
        <v>83</v>
      </c>
      <c r="D3" s="42" t="s">
        <v>96</v>
      </c>
      <c r="E3" s="42" t="s">
        <v>13</v>
      </c>
      <c r="G3" s="38"/>
      <c r="H3" s="38"/>
    </row>
    <row r="4" spans="1:8" x14ac:dyDescent="0.3">
      <c r="B4" s="62">
        <v>45292</v>
      </c>
      <c r="C4" s="39" t="s">
        <v>142</v>
      </c>
      <c r="D4" s="61">
        <v>180</v>
      </c>
      <c r="E4" s="47">
        <f>SUM($D$4:D4)</f>
        <v>180</v>
      </c>
    </row>
    <row r="5" spans="1:8" x14ac:dyDescent="0.3">
      <c r="B5" s="62">
        <v>45293</v>
      </c>
      <c r="C5" s="39" t="s">
        <v>135</v>
      </c>
      <c r="D5" s="61">
        <v>220</v>
      </c>
      <c r="E5" s="39">
        <f>SUM($E$4+D5)</f>
        <v>400</v>
      </c>
    </row>
    <row r="6" spans="1:8" x14ac:dyDescent="0.3">
      <c r="B6" s="62">
        <v>45294</v>
      </c>
      <c r="C6" s="39" t="s">
        <v>137</v>
      </c>
      <c r="D6" s="61">
        <v>170</v>
      </c>
      <c r="E6" s="39">
        <f t="shared" ref="E6:E12" si="0">SUM($E$4+D6)</f>
        <v>350</v>
      </c>
    </row>
    <row r="7" spans="1:8" x14ac:dyDescent="0.3">
      <c r="B7" s="62">
        <v>45295</v>
      </c>
      <c r="C7" s="39" t="s">
        <v>143</v>
      </c>
      <c r="D7" s="61">
        <v>250</v>
      </c>
      <c r="E7" s="39">
        <f t="shared" si="0"/>
        <v>430</v>
      </c>
    </row>
    <row r="8" spans="1:8" x14ac:dyDescent="0.3">
      <c r="B8" s="62">
        <v>45296</v>
      </c>
      <c r="C8" s="39" t="s">
        <v>135</v>
      </c>
      <c r="D8" s="61">
        <v>130</v>
      </c>
      <c r="E8" s="39">
        <f t="shared" si="0"/>
        <v>310</v>
      </c>
    </row>
    <row r="9" spans="1:8" x14ac:dyDescent="0.3">
      <c r="B9" s="62">
        <v>45297</v>
      </c>
      <c r="C9" s="39" t="s">
        <v>137</v>
      </c>
      <c r="D9" s="61">
        <v>370</v>
      </c>
      <c r="E9" s="39">
        <f t="shared" si="0"/>
        <v>550</v>
      </c>
    </row>
    <row r="10" spans="1:8" x14ac:dyDescent="0.3">
      <c r="B10" s="62">
        <v>45298</v>
      </c>
      <c r="C10" s="39" t="s">
        <v>143</v>
      </c>
      <c r="D10" s="61">
        <v>280</v>
      </c>
      <c r="E10" s="39">
        <f t="shared" si="0"/>
        <v>460</v>
      </c>
    </row>
    <row r="11" spans="1:8" x14ac:dyDescent="0.3">
      <c r="B11" s="62">
        <v>45299</v>
      </c>
      <c r="C11" s="39" t="s">
        <v>135</v>
      </c>
      <c r="D11" s="61">
        <v>360</v>
      </c>
      <c r="E11" s="39">
        <f t="shared" si="0"/>
        <v>540</v>
      </c>
    </row>
    <row r="12" spans="1:8" x14ac:dyDescent="0.3">
      <c r="B12" s="62">
        <v>45300</v>
      </c>
      <c r="C12" s="39" t="s">
        <v>137</v>
      </c>
      <c r="D12" s="61">
        <v>420</v>
      </c>
      <c r="E12" s="39">
        <f t="shared" si="0"/>
        <v>600</v>
      </c>
    </row>
  </sheetData>
  <hyperlinks>
    <hyperlink ref="A2" location="Home!A1" display="Home" xr:uid="{1D7F8832-826C-4B23-8401-52DE4DA2F49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6D9E-C941-4799-B0B3-C7DC7E87BECE}">
  <dimension ref="A1:F12"/>
  <sheetViews>
    <sheetView zoomScale="130" zoomScaleNormal="130" workbookViewId="0">
      <pane ySplit="1" topLeftCell="A2" activePane="bottomLeft" state="frozen"/>
      <selection pane="bottomLeft" activeCell="E5" sqref="E5"/>
    </sheetView>
  </sheetViews>
  <sheetFormatPr defaultRowHeight="18.75" x14ac:dyDescent="0.3"/>
  <cols>
    <col min="2" max="2" width="14" style="13" customWidth="1"/>
    <col min="3" max="3" width="11.09765625" bestFit="1" customWidth="1"/>
    <col min="4" max="4" width="8" bestFit="1" customWidth="1"/>
    <col min="5" max="5" width="12.296875" customWidth="1"/>
    <col min="6" max="6" width="15.296875" customWidth="1"/>
  </cols>
  <sheetData>
    <row r="1" spans="1:6" s="2" customFormat="1" ht="32.65" customHeight="1" thickBot="1" x14ac:dyDescent="0.35">
      <c r="A1" s="36">
        <v>8</v>
      </c>
      <c r="B1" s="138" t="s">
        <v>144</v>
      </c>
    </row>
    <row r="2" spans="1:6" x14ac:dyDescent="0.3">
      <c r="A2" s="37" t="s">
        <v>2</v>
      </c>
    </row>
    <row r="3" spans="1:6" x14ac:dyDescent="0.3">
      <c r="B3" s="12" t="s">
        <v>141</v>
      </c>
      <c r="C3" s="42" t="s">
        <v>145</v>
      </c>
      <c r="D3" s="3" t="s">
        <v>96</v>
      </c>
      <c r="E3" s="3" t="s">
        <v>13</v>
      </c>
    </row>
    <row r="4" spans="1:6" x14ac:dyDescent="0.3">
      <c r="B4" s="63">
        <v>45292</v>
      </c>
      <c r="C4" s="39" t="s">
        <v>142</v>
      </c>
      <c r="D4" s="61">
        <v>180</v>
      </c>
      <c r="E4" s="14">
        <f>SUM($D$4:D4)</f>
        <v>180</v>
      </c>
      <c r="F4" t="str">
        <f ca="1">_xlfn.FORMULATEXT(E4)</f>
        <v>=SUM($D$4:D4)</v>
      </c>
    </row>
    <row r="5" spans="1:6" x14ac:dyDescent="0.3">
      <c r="B5" s="63">
        <v>45293</v>
      </c>
      <c r="C5" s="39" t="s">
        <v>135</v>
      </c>
      <c r="D5" s="61">
        <v>220</v>
      </c>
      <c r="E5" s="14">
        <f>SUM($E$4+D5)</f>
        <v>400</v>
      </c>
      <c r="F5" t="str">
        <f t="shared" ref="F5:F12" ca="1" si="0">_xlfn.FORMULATEXT(E5)</f>
        <v>=SUM($E$4+D5)</v>
      </c>
    </row>
    <row r="6" spans="1:6" x14ac:dyDescent="0.3">
      <c r="B6" s="63">
        <v>45294</v>
      </c>
      <c r="C6" s="39" t="s">
        <v>137</v>
      </c>
      <c r="D6" s="61">
        <v>170</v>
      </c>
      <c r="E6" s="14">
        <f t="shared" ref="E6:E12" si="1">SUM($E$4+D6)</f>
        <v>350</v>
      </c>
      <c r="F6" t="str">
        <f t="shared" ca="1" si="0"/>
        <v>=SUM($E$4+D6)</v>
      </c>
    </row>
    <row r="7" spans="1:6" x14ac:dyDescent="0.3">
      <c r="B7" s="63">
        <v>45295</v>
      </c>
      <c r="C7" s="39" t="s">
        <v>143</v>
      </c>
      <c r="D7" s="61">
        <v>250</v>
      </c>
      <c r="E7" s="14">
        <f t="shared" si="1"/>
        <v>430</v>
      </c>
      <c r="F7" t="str">
        <f t="shared" ca="1" si="0"/>
        <v>=SUM($E$4+D7)</v>
      </c>
    </row>
    <row r="8" spans="1:6" x14ac:dyDescent="0.3">
      <c r="B8" s="63">
        <v>45296</v>
      </c>
      <c r="C8" s="39" t="s">
        <v>135</v>
      </c>
      <c r="D8" s="61">
        <v>130</v>
      </c>
      <c r="E8" s="14">
        <f t="shared" si="1"/>
        <v>310</v>
      </c>
      <c r="F8" t="str">
        <f t="shared" ca="1" si="0"/>
        <v>=SUM($E$4+D8)</v>
      </c>
    </row>
    <row r="9" spans="1:6" x14ac:dyDescent="0.3">
      <c r="B9" s="63">
        <v>45297</v>
      </c>
      <c r="C9" s="39" t="s">
        <v>137</v>
      </c>
      <c r="D9" s="61">
        <v>370</v>
      </c>
      <c r="E9" s="14">
        <f t="shared" si="1"/>
        <v>550</v>
      </c>
      <c r="F9" t="str">
        <f t="shared" ca="1" si="0"/>
        <v>=SUM($E$4+D9)</v>
      </c>
    </row>
    <row r="10" spans="1:6" x14ac:dyDescent="0.3">
      <c r="B10" s="63">
        <v>45298</v>
      </c>
      <c r="C10" s="39" t="s">
        <v>143</v>
      </c>
      <c r="D10" s="61">
        <v>280</v>
      </c>
      <c r="E10" s="14">
        <f t="shared" si="1"/>
        <v>460</v>
      </c>
      <c r="F10" t="str">
        <f t="shared" ca="1" si="0"/>
        <v>=SUM($E$4+D10)</v>
      </c>
    </row>
    <row r="11" spans="1:6" x14ac:dyDescent="0.3">
      <c r="B11" s="63">
        <v>45299</v>
      </c>
      <c r="C11" s="39" t="s">
        <v>135</v>
      </c>
      <c r="D11" s="61">
        <v>360</v>
      </c>
      <c r="E11" s="14">
        <f t="shared" si="1"/>
        <v>540</v>
      </c>
      <c r="F11" t="str">
        <f t="shared" ca="1" si="0"/>
        <v>=SUM($E$4+D11)</v>
      </c>
    </row>
    <row r="12" spans="1:6" x14ac:dyDescent="0.3">
      <c r="B12" s="63">
        <v>45300</v>
      </c>
      <c r="C12" s="39" t="s">
        <v>137</v>
      </c>
      <c r="D12" s="61">
        <v>420</v>
      </c>
      <c r="E12" s="14">
        <f t="shared" si="1"/>
        <v>600</v>
      </c>
      <c r="F12" t="str">
        <f t="shared" ca="1" si="0"/>
        <v>=SUM($E$4+D12)</v>
      </c>
    </row>
  </sheetData>
  <hyperlinks>
    <hyperlink ref="A2" location="Home!A1" display="Home" xr:uid="{49228CEC-8E55-4D58-B52C-CF293A16F0DB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6ACE-0552-4CCF-B7E2-4F4B14DD76B0}">
  <dimension ref="A1:F13"/>
  <sheetViews>
    <sheetView zoomScale="130" zoomScaleNormal="130" workbookViewId="0">
      <pane ySplit="1" topLeftCell="A2" activePane="bottomLeft" state="frozen"/>
      <selection pane="bottomLeft" activeCell="D15" sqref="D15"/>
    </sheetView>
  </sheetViews>
  <sheetFormatPr defaultRowHeight="18.75" x14ac:dyDescent="0.3"/>
  <cols>
    <col min="2" max="2" width="14" style="13" customWidth="1"/>
    <col min="3" max="3" width="14.3984375" customWidth="1"/>
  </cols>
  <sheetData>
    <row r="1" spans="1:6" s="2" customFormat="1" ht="32.65" customHeight="1" thickBot="1" x14ac:dyDescent="0.35">
      <c r="A1" s="36">
        <v>9</v>
      </c>
      <c r="B1" s="138" t="s">
        <v>146</v>
      </c>
    </row>
    <row r="2" spans="1:6" x14ac:dyDescent="0.3">
      <c r="A2" s="37" t="s">
        <v>2</v>
      </c>
    </row>
    <row r="3" spans="1:6" x14ac:dyDescent="0.3">
      <c r="B3" s="16" t="s">
        <v>141</v>
      </c>
      <c r="C3" s="17" t="s">
        <v>83</v>
      </c>
      <c r="D3" s="18" t="s">
        <v>96</v>
      </c>
      <c r="F3" s="3" t="s">
        <v>96</v>
      </c>
    </row>
    <row r="4" spans="1:6" x14ac:dyDescent="0.3">
      <c r="B4" s="15">
        <v>45292</v>
      </c>
      <c r="C4" s="39" t="s">
        <v>93</v>
      </c>
      <c r="D4" s="39">
        <v>180</v>
      </c>
      <c r="F4">
        <f>SUM($D$4:$D$13)</f>
        <v>36723</v>
      </c>
    </row>
    <row r="5" spans="1:6" x14ac:dyDescent="0.3">
      <c r="B5" s="15">
        <v>45293</v>
      </c>
      <c r="C5" s="39" t="s">
        <v>147</v>
      </c>
      <c r="D5" s="39">
        <v>220</v>
      </c>
    </row>
    <row r="6" spans="1:6" x14ac:dyDescent="0.3">
      <c r="B6" s="15">
        <v>45294</v>
      </c>
      <c r="C6" s="39" t="s">
        <v>148</v>
      </c>
      <c r="D6" s="39">
        <v>170</v>
      </c>
    </row>
    <row r="7" spans="1:6" x14ac:dyDescent="0.3">
      <c r="B7" s="15">
        <v>45295</v>
      </c>
      <c r="C7" s="39" t="s">
        <v>149</v>
      </c>
      <c r="D7" s="39">
        <v>250</v>
      </c>
    </row>
    <row r="8" spans="1:6" x14ac:dyDescent="0.3">
      <c r="B8" s="15">
        <v>45296</v>
      </c>
      <c r="C8" s="39" t="s">
        <v>147</v>
      </c>
      <c r="D8" s="39">
        <v>130</v>
      </c>
    </row>
    <row r="9" spans="1:6" x14ac:dyDescent="0.3">
      <c r="B9" s="15">
        <v>45297</v>
      </c>
      <c r="C9" s="39" t="s">
        <v>148</v>
      </c>
      <c r="D9" s="39">
        <v>370</v>
      </c>
    </row>
    <row r="10" spans="1:6" x14ac:dyDescent="0.3">
      <c r="B10" s="15">
        <v>45298</v>
      </c>
      <c r="C10" s="39" t="s">
        <v>149</v>
      </c>
      <c r="D10" s="39">
        <v>280</v>
      </c>
    </row>
    <row r="11" spans="1:6" x14ac:dyDescent="0.3">
      <c r="B11" s="15">
        <v>45299</v>
      </c>
      <c r="C11" s="39" t="s">
        <v>147</v>
      </c>
      <c r="D11" s="39">
        <v>360</v>
      </c>
    </row>
    <row r="12" spans="1:6" x14ac:dyDescent="0.3">
      <c r="B12" s="19">
        <v>45300</v>
      </c>
      <c r="C12" s="39" t="s">
        <v>148</v>
      </c>
      <c r="D12" s="39">
        <v>420</v>
      </c>
    </row>
    <row r="13" spans="1:6" x14ac:dyDescent="0.3">
      <c r="B13" s="15">
        <v>45300</v>
      </c>
      <c r="C13" s="4" t="s">
        <v>148</v>
      </c>
      <c r="D13" s="21">
        <v>34343</v>
      </c>
    </row>
  </sheetData>
  <hyperlinks>
    <hyperlink ref="A2" location="Home!A1" display="Home" xr:uid="{D4C461CE-B129-4846-9692-2B8D335A4CCA}"/>
  </hyperlink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8949-0B8D-4232-A4C1-CE0A1C8A4D58}">
  <dimension ref="A1:L24"/>
  <sheetViews>
    <sheetView zoomScale="130" zoomScaleNormal="130" workbookViewId="0">
      <pane ySplit="1" topLeftCell="A14" activePane="bottomLeft" state="frozen"/>
      <selection pane="bottomLeft" activeCell="F18" sqref="F18"/>
    </sheetView>
  </sheetViews>
  <sheetFormatPr defaultRowHeight="18.75" x14ac:dyDescent="0.3"/>
  <cols>
    <col min="2" max="2" width="14" customWidth="1"/>
    <col min="4" max="4" width="7.19921875" customWidth="1"/>
    <col min="5" max="6" width="6.796875" customWidth="1"/>
    <col min="7" max="7" width="9.19921875" customWidth="1"/>
    <col min="8" max="8" width="13.296875" bestFit="1" customWidth="1"/>
  </cols>
  <sheetData>
    <row r="1" spans="1:12" s="2" customFormat="1" ht="32.65" customHeight="1" thickBot="1" x14ac:dyDescent="0.35">
      <c r="A1" s="36">
        <v>10</v>
      </c>
      <c r="B1" s="1" t="s">
        <v>150</v>
      </c>
    </row>
    <row r="2" spans="1:12" x14ac:dyDescent="0.3">
      <c r="A2" s="37" t="s">
        <v>2</v>
      </c>
    </row>
    <row r="3" spans="1:12" x14ac:dyDescent="0.3">
      <c r="B3" s="42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G3" s="3" t="s">
        <v>95</v>
      </c>
      <c r="I3" s="38"/>
      <c r="J3" s="38"/>
      <c r="K3" s="38"/>
      <c r="L3" s="38"/>
    </row>
    <row r="4" spans="1:12" x14ac:dyDescent="0.3">
      <c r="B4" s="39" t="s">
        <v>151</v>
      </c>
      <c r="C4" s="61" t="s">
        <v>90</v>
      </c>
      <c r="D4" s="39">
        <v>15000</v>
      </c>
      <c r="E4" s="39">
        <v>28000</v>
      </c>
      <c r="F4" s="39">
        <v>22000</v>
      </c>
      <c r="G4" s="4">
        <f>AVERAGE(D4:F4)</f>
        <v>21666.666666666668</v>
      </c>
    </row>
    <row r="5" spans="1:12" x14ac:dyDescent="0.3">
      <c r="B5" s="39" t="s">
        <v>138</v>
      </c>
      <c r="C5" s="61" t="s">
        <v>92</v>
      </c>
      <c r="D5" s="39">
        <v>22000</v>
      </c>
      <c r="E5" s="39">
        <v>9500</v>
      </c>
      <c r="F5" s="39">
        <v>7300</v>
      </c>
      <c r="G5" s="4">
        <f t="shared" ref="G5:G11" si="0">AVERAGE(D5:F5)</f>
        <v>12933.333333333334</v>
      </c>
    </row>
    <row r="6" spans="1:12" x14ac:dyDescent="0.3">
      <c r="B6" s="39" t="s">
        <v>152</v>
      </c>
      <c r="C6" s="61" t="s">
        <v>94</v>
      </c>
      <c r="D6" s="39">
        <v>8200</v>
      </c>
      <c r="E6" s="39">
        <v>11000</v>
      </c>
      <c r="F6" s="39">
        <v>31000</v>
      </c>
      <c r="G6" s="4">
        <f t="shared" si="0"/>
        <v>16733.333333333332</v>
      </c>
    </row>
    <row r="7" spans="1:12" x14ac:dyDescent="0.3">
      <c r="B7" s="39" t="s">
        <v>151</v>
      </c>
      <c r="C7" s="61" t="s">
        <v>90</v>
      </c>
      <c r="D7" s="39">
        <v>32000</v>
      </c>
      <c r="E7" s="39">
        <v>26000</v>
      </c>
      <c r="F7" s="39">
        <v>28000</v>
      </c>
      <c r="G7" s="4">
        <f t="shared" si="0"/>
        <v>28666.666666666668</v>
      </c>
    </row>
    <row r="8" spans="1:12" x14ac:dyDescent="0.3">
      <c r="B8" s="39" t="s">
        <v>138</v>
      </c>
      <c r="C8" s="61" t="s">
        <v>92</v>
      </c>
      <c r="D8" s="39">
        <v>19000</v>
      </c>
      <c r="E8" s="39">
        <v>8500</v>
      </c>
      <c r="F8" s="39">
        <v>9100</v>
      </c>
      <c r="G8" s="4">
        <f t="shared" si="0"/>
        <v>12200</v>
      </c>
    </row>
    <row r="9" spans="1:12" x14ac:dyDescent="0.3">
      <c r="B9" s="39" t="s">
        <v>152</v>
      </c>
      <c r="C9" s="61" t="s">
        <v>94</v>
      </c>
      <c r="D9" s="39">
        <v>27000</v>
      </c>
      <c r="E9" s="39">
        <v>15000</v>
      </c>
      <c r="F9" s="39">
        <v>9200</v>
      </c>
      <c r="G9" s="4">
        <f t="shared" si="0"/>
        <v>17066.666666666668</v>
      </c>
    </row>
    <row r="10" spans="1:12" x14ac:dyDescent="0.3">
      <c r="B10" s="39" t="s">
        <v>151</v>
      </c>
      <c r="C10" s="61" t="s">
        <v>90</v>
      </c>
      <c r="D10" s="39">
        <v>6300</v>
      </c>
      <c r="E10" s="39">
        <v>18000</v>
      </c>
      <c r="F10" s="39">
        <v>17000</v>
      </c>
      <c r="G10" s="4">
        <f t="shared" si="0"/>
        <v>13766.666666666666</v>
      </c>
    </row>
    <row r="11" spans="1:12" x14ac:dyDescent="0.3">
      <c r="B11" s="39" t="s">
        <v>138</v>
      </c>
      <c r="C11" s="61" t="s">
        <v>92</v>
      </c>
      <c r="D11" s="39">
        <v>7200</v>
      </c>
      <c r="E11" s="39">
        <v>26000</v>
      </c>
      <c r="F11" s="39">
        <v>8300</v>
      </c>
      <c r="G11" s="4">
        <f t="shared" si="0"/>
        <v>13833.333333333334</v>
      </c>
    </row>
    <row r="16" spans="1:12" x14ac:dyDescent="0.3">
      <c r="B16" s="3" t="s">
        <v>83</v>
      </c>
      <c r="C16" s="3" t="s">
        <v>84</v>
      </c>
      <c r="D16" s="3" t="s">
        <v>96</v>
      </c>
      <c r="H16" s="38"/>
      <c r="I16" s="38"/>
      <c r="J16" s="38"/>
    </row>
    <row r="17" spans="2:6" x14ac:dyDescent="0.3">
      <c r="B17" s="39" t="s">
        <v>89</v>
      </c>
      <c r="C17" s="39" t="s">
        <v>90</v>
      </c>
      <c r="D17" s="39">
        <v>21000</v>
      </c>
      <c r="F17">
        <f>AVERAGE(D17:D24)</f>
        <v>29200</v>
      </c>
    </row>
    <row r="18" spans="2:6" x14ac:dyDescent="0.3">
      <c r="B18" s="39" t="s">
        <v>91</v>
      </c>
      <c r="C18" s="39" t="s">
        <v>92</v>
      </c>
      <c r="D18" s="39">
        <v>8900</v>
      </c>
    </row>
    <row r="19" spans="2:6" x14ac:dyDescent="0.3">
      <c r="B19" s="39" t="s">
        <v>93</v>
      </c>
      <c r="C19" s="39" t="s">
        <v>94</v>
      </c>
      <c r="D19" s="39">
        <v>32500</v>
      </c>
    </row>
    <row r="20" spans="2:6" x14ac:dyDescent="0.3">
      <c r="B20" s="39" t="s">
        <v>89</v>
      </c>
      <c r="C20" s="39" t="s">
        <v>90</v>
      </c>
      <c r="D20" s="39">
        <v>27500</v>
      </c>
    </row>
    <row r="21" spans="2:6" x14ac:dyDescent="0.3">
      <c r="B21" s="39" t="s">
        <v>91</v>
      </c>
      <c r="C21" s="39" t="s">
        <v>92</v>
      </c>
      <c r="D21" s="39">
        <v>9200</v>
      </c>
    </row>
    <row r="22" spans="2:6" x14ac:dyDescent="0.3">
      <c r="B22" s="39" t="s">
        <v>93</v>
      </c>
      <c r="C22" s="39" t="s">
        <v>94</v>
      </c>
      <c r="D22" s="39">
        <v>9100</v>
      </c>
    </row>
    <row r="23" spans="2:6" x14ac:dyDescent="0.3">
      <c r="B23" s="39" t="s">
        <v>89</v>
      </c>
      <c r="C23" s="39" t="s">
        <v>90</v>
      </c>
      <c r="D23" s="39">
        <v>29000</v>
      </c>
    </row>
    <row r="24" spans="2:6" x14ac:dyDescent="0.3">
      <c r="B24" s="39" t="s">
        <v>91</v>
      </c>
      <c r="C24" s="39" t="s">
        <v>92</v>
      </c>
      <c r="D24" s="39">
        <v>96400</v>
      </c>
    </row>
  </sheetData>
  <hyperlinks>
    <hyperlink ref="A2" location="Home!A1" display="Home" xr:uid="{A47F41A7-FED5-4081-85A7-F56A5F584D3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0619-AAE4-4860-A183-F1F01F3D5314}">
  <dimension ref="A1:K11"/>
  <sheetViews>
    <sheetView zoomScale="130" zoomScaleNormal="130" workbookViewId="0">
      <pane ySplit="1" topLeftCell="A2" activePane="bottomLeft" state="frozen"/>
      <selection pane="bottomLeft" activeCell="G7" sqref="G7"/>
    </sheetView>
  </sheetViews>
  <sheetFormatPr defaultRowHeight="18.75" x14ac:dyDescent="0.3"/>
  <cols>
    <col min="2" max="2" width="14" customWidth="1"/>
    <col min="4" max="4" width="8.19921875" customWidth="1"/>
    <col min="6" max="6" width="13.59765625" customWidth="1"/>
    <col min="9" max="9" width="13.296875" bestFit="1" customWidth="1"/>
  </cols>
  <sheetData>
    <row r="1" spans="1:11" s="2" customFormat="1" ht="32.65" customHeight="1" thickBot="1" x14ac:dyDescent="0.35">
      <c r="A1" s="36">
        <v>11</v>
      </c>
      <c r="B1" s="1" t="s">
        <v>153</v>
      </c>
    </row>
    <row r="2" spans="1:11" x14ac:dyDescent="0.3">
      <c r="A2" s="37" t="s">
        <v>2</v>
      </c>
    </row>
    <row r="3" spans="1:11" x14ac:dyDescent="0.3">
      <c r="B3" s="40" t="s">
        <v>83</v>
      </c>
      <c r="C3" s="3" t="s">
        <v>84</v>
      </c>
      <c r="D3" s="3" t="s">
        <v>96</v>
      </c>
      <c r="F3" s="3" t="s">
        <v>83</v>
      </c>
      <c r="G3" s="3" t="s">
        <v>154</v>
      </c>
      <c r="I3" s="38"/>
      <c r="J3" s="38"/>
      <c r="K3" s="38"/>
    </row>
    <row r="4" spans="1:11" x14ac:dyDescent="0.3">
      <c r="B4" s="39" t="s">
        <v>155</v>
      </c>
      <c r="C4" s="39" t="s">
        <v>90</v>
      </c>
      <c r="D4" s="39">
        <v>19500</v>
      </c>
      <c r="F4" s="39" t="s">
        <v>156</v>
      </c>
      <c r="G4" s="4">
        <f>AVERAGEIF(B4:B11,F4,D4:D11)</f>
        <v>7466.666666666667</v>
      </c>
    </row>
    <row r="5" spans="1:11" x14ac:dyDescent="0.3">
      <c r="B5" s="39" t="s">
        <v>156</v>
      </c>
      <c r="C5" s="39" t="s">
        <v>92</v>
      </c>
      <c r="D5" s="39">
        <v>6200</v>
      </c>
    </row>
    <row r="6" spans="1:11" x14ac:dyDescent="0.3">
      <c r="B6" s="39" t="s">
        <v>157</v>
      </c>
      <c r="C6" s="39" t="s">
        <v>94</v>
      </c>
      <c r="D6" s="39">
        <v>31500</v>
      </c>
    </row>
    <row r="7" spans="1:11" x14ac:dyDescent="0.3">
      <c r="B7" s="39" t="s">
        <v>155</v>
      </c>
      <c r="C7" s="39" t="s">
        <v>90</v>
      </c>
      <c r="D7" s="39">
        <v>28500</v>
      </c>
    </row>
    <row r="8" spans="1:11" x14ac:dyDescent="0.3">
      <c r="B8" s="39" t="s">
        <v>156</v>
      </c>
      <c r="C8" s="39" t="s">
        <v>92</v>
      </c>
      <c r="D8" s="39">
        <v>9400</v>
      </c>
    </row>
    <row r="9" spans="1:11" x14ac:dyDescent="0.3">
      <c r="B9" s="39" t="s">
        <v>157</v>
      </c>
      <c r="C9" s="39" t="s">
        <v>94</v>
      </c>
      <c r="D9" s="39">
        <v>7200</v>
      </c>
    </row>
    <row r="10" spans="1:11" x14ac:dyDescent="0.3">
      <c r="B10" s="39" t="s">
        <v>155</v>
      </c>
      <c r="C10" s="39" t="s">
        <v>90</v>
      </c>
      <c r="D10" s="39">
        <v>27000</v>
      </c>
    </row>
    <row r="11" spans="1:11" x14ac:dyDescent="0.3">
      <c r="B11" s="39" t="s">
        <v>156</v>
      </c>
      <c r="C11" s="39" t="s">
        <v>92</v>
      </c>
      <c r="D11" s="39">
        <v>6800</v>
      </c>
    </row>
  </sheetData>
  <hyperlinks>
    <hyperlink ref="A2" location="Home!A1" display="Home" xr:uid="{50D7590F-171D-417C-8457-5A120CECE0D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7C50-2D49-4ED2-A7A9-03C41E3F5D55}">
  <dimension ref="A1:J11"/>
  <sheetViews>
    <sheetView zoomScale="130" zoomScaleNormal="130" workbookViewId="0">
      <pane ySplit="1" topLeftCell="A2" activePane="bottomLeft" state="frozen"/>
      <selection pane="bottomLeft" activeCell="D18" sqref="D18"/>
    </sheetView>
  </sheetViews>
  <sheetFormatPr defaultRowHeight="18.75" x14ac:dyDescent="0.3"/>
  <cols>
    <col min="2" max="2" width="14" customWidth="1"/>
    <col min="4" max="4" width="8.5" customWidth="1"/>
    <col min="6" max="6" width="14.3984375" customWidth="1"/>
    <col min="7" max="7" width="12.296875" bestFit="1" customWidth="1"/>
    <col min="8" max="8" width="13.296875" bestFit="1" customWidth="1"/>
  </cols>
  <sheetData>
    <row r="1" spans="1:10" s="2" customFormat="1" ht="32.65" customHeight="1" thickBot="1" x14ac:dyDescent="0.35">
      <c r="A1" s="36">
        <v>12</v>
      </c>
      <c r="B1" s="1" t="s">
        <v>158</v>
      </c>
    </row>
    <row r="2" spans="1:10" x14ac:dyDescent="0.3">
      <c r="A2" s="37" t="s">
        <v>2</v>
      </c>
    </row>
    <row r="3" spans="1:10" x14ac:dyDescent="0.3">
      <c r="B3" s="40" t="s">
        <v>83</v>
      </c>
      <c r="C3" s="40" t="s">
        <v>84</v>
      </c>
      <c r="D3" s="64" t="s">
        <v>96</v>
      </c>
      <c r="F3" s="65" t="s">
        <v>83</v>
      </c>
      <c r="G3" s="40" t="s">
        <v>154</v>
      </c>
      <c r="H3" s="38"/>
      <c r="I3" s="38"/>
      <c r="J3" s="38"/>
    </row>
    <row r="4" spans="1:10" x14ac:dyDescent="0.3">
      <c r="B4" s="39" t="s">
        <v>159</v>
      </c>
      <c r="C4" s="39" t="s">
        <v>90</v>
      </c>
      <c r="D4" s="61">
        <v>22500</v>
      </c>
      <c r="F4" s="39" t="s">
        <v>160</v>
      </c>
      <c r="G4" s="39" t="str">
        <f>IFERROR(AVERAGEIF(B4:B11,F4,D4:D11),"Not Found")</f>
        <v>Not Found</v>
      </c>
    </row>
    <row r="5" spans="1:10" x14ac:dyDescent="0.3">
      <c r="B5" s="39" t="s">
        <v>161</v>
      </c>
      <c r="C5" s="39" t="s">
        <v>92</v>
      </c>
      <c r="D5" s="61">
        <v>5800</v>
      </c>
      <c r="G5" t="str">
        <f>IFERROR(AVERAGEIF(B4:B11,F4,D4:D11)," no data")</f>
        <v xml:space="preserve"> no data</v>
      </c>
    </row>
    <row r="6" spans="1:10" x14ac:dyDescent="0.3">
      <c r="B6" s="39" t="s">
        <v>162</v>
      </c>
      <c r="C6" s="39" t="s">
        <v>94</v>
      </c>
      <c r="D6" s="61">
        <v>29800</v>
      </c>
      <c r="G6" t="str">
        <f>IFERROR(AVERAGEIF(B4:B11,F4,D4:D11)," not av")</f>
        <v xml:space="preserve"> not av</v>
      </c>
    </row>
    <row r="7" spans="1:10" x14ac:dyDescent="0.3">
      <c r="B7" s="39" t="s">
        <v>159</v>
      </c>
      <c r="C7" s="39" t="s">
        <v>90</v>
      </c>
      <c r="D7" s="61">
        <v>31000</v>
      </c>
    </row>
    <row r="8" spans="1:10" x14ac:dyDescent="0.3">
      <c r="B8" s="39" t="s">
        <v>161</v>
      </c>
      <c r="C8" s="39" t="s">
        <v>92</v>
      </c>
      <c r="D8" s="61">
        <v>9100</v>
      </c>
      <c r="F8" t="e">
        <v>#N/A</v>
      </c>
    </row>
    <row r="9" spans="1:10" x14ac:dyDescent="0.3">
      <c r="B9" s="39" t="s">
        <v>162</v>
      </c>
      <c r="C9" s="39" t="s">
        <v>94</v>
      </c>
      <c r="D9" s="61">
        <v>6900</v>
      </c>
      <c r="F9" t="e">
        <v>#VALUE!</v>
      </c>
    </row>
    <row r="10" spans="1:10" x14ac:dyDescent="0.3">
      <c r="B10" s="39" t="s">
        <v>159</v>
      </c>
      <c r="C10" s="39" t="s">
        <v>90</v>
      </c>
      <c r="D10" s="61">
        <v>28000</v>
      </c>
      <c r="F10" t="e">
        <v>#DIV/0!</v>
      </c>
    </row>
    <row r="11" spans="1:10" x14ac:dyDescent="0.3">
      <c r="B11" s="39" t="s">
        <v>161</v>
      </c>
      <c r="C11" s="39" t="s">
        <v>92</v>
      </c>
      <c r="D11" s="61">
        <v>6600</v>
      </c>
    </row>
  </sheetData>
  <hyperlinks>
    <hyperlink ref="A2" location="Home!A1" display="Home" xr:uid="{ED47C17D-D128-4853-ACAF-6535C29DA4C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5A50-6C9B-4139-B64E-C21352A7EA8A}">
  <dimension ref="A1:L11"/>
  <sheetViews>
    <sheetView zoomScale="130" zoomScaleNormal="130" workbookViewId="0">
      <pane ySplit="1" topLeftCell="A2" activePane="bottomLeft" state="frozen"/>
      <selection pane="bottomLeft" activeCell="H5" sqref="H5"/>
    </sheetView>
  </sheetViews>
  <sheetFormatPr defaultRowHeight="18.75" x14ac:dyDescent="0.3"/>
  <cols>
    <col min="2" max="2" width="14" customWidth="1"/>
    <col min="4" max="4" width="8.3984375" customWidth="1"/>
    <col min="6" max="6" width="13.59765625" customWidth="1"/>
    <col min="10" max="10" width="13.296875" bestFit="1" customWidth="1"/>
  </cols>
  <sheetData>
    <row r="1" spans="1:12" s="2" customFormat="1" ht="32.65" customHeight="1" thickBot="1" x14ac:dyDescent="0.35">
      <c r="A1" s="36">
        <v>13</v>
      </c>
      <c r="B1" s="1" t="s">
        <v>163</v>
      </c>
    </row>
    <row r="2" spans="1:12" x14ac:dyDescent="0.3">
      <c r="A2" s="37" t="s">
        <v>2</v>
      </c>
    </row>
    <row r="3" spans="1:12" x14ac:dyDescent="0.3">
      <c r="B3" s="3" t="s">
        <v>83</v>
      </c>
      <c r="C3" s="3" t="s">
        <v>84</v>
      </c>
      <c r="D3" s="3" t="s">
        <v>96</v>
      </c>
      <c r="F3" s="3" t="s">
        <v>83</v>
      </c>
      <c r="G3" s="3" t="s">
        <v>84</v>
      </c>
      <c r="H3" s="3" t="s">
        <v>96</v>
      </c>
      <c r="J3" s="38"/>
      <c r="K3" s="38"/>
      <c r="L3" s="38"/>
    </row>
    <row r="4" spans="1:12" x14ac:dyDescent="0.3">
      <c r="B4" s="39" t="s">
        <v>159</v>
      </c>
      <c r="C4" s="39" t="s">
        <v>90</v>
      </c>
      <c r="D4" s="39">
        <v>13500</v>
      </c>
      <c r="F4" s="4" t="s">
        <v>159</v>
      </c>
      <c r="G4" s="4" t="s">
        <v>90</v>
      </c>
      <c r="H4" s="4">
        <f>AVERAGEIFS(D4:D11,B4:B11,F4,C4:C11,G4)</f>
        <v>23250</v>
      </c>
    </row>
    <row r="5" spans="1:12" x14ac:dyDescent="0.3">
      <c r="B5" s="39" t="s">
        <v>161</v>
      </c>
      <c r="C5" s="39" t="s">
        <v>94</v>
      </c>
      <c r="D5" s="39">
        <v>28500</v>
      </c>
    </row>
    <row r="6" spans="1:12" x14ac:dyDescent="0.3">
      <c r="B6" s="39" t="s">
        <v>162</v>
      </c>
      <c r="C6" s="39" t="s">
        <v>94</v>
      </c>
      <c r="D6" s="39">
        <v>7200</v>
      </c>
    </row>
    <row r="7" spans="1:12" x14ac:dyDescent="0.3">
      <c r="B7" s="39" t="s">
        <v>159</v>
      </c>
      <c r="C7" s="39" t="s">
        <v>90</v>
      </c>
      <c r="D7" s="39">
        <v>33000</v>
      </c>
    </row>
    <row r="8" spans="1:12" x14ac:dyDescent="0.3">
      <c r="B8" s="39" t="s">
        <v>161</v>
      </c>
      <c r="C8" s="39" t="s">
        <v>94</v>
      </c>
      <c r="D8" s="39">
        <v>32000</v>
      </c>
    </row>
    <row r="9" spans="1:12" x14ac:dyDescent="0.3">
      <c r="B9" s="39" t="s">
        <v>162</v>
      </c>
      <c r="C9" s="39" t="s">
        <v>94</v>
      </c>
      <c r="D9" s="39">
        <v>25000</v>
      </c>
    </row>
    <row r="10" spans="1:12" x14ac:dyDescent="0.3">
      <c r="B10" s="39" t="s">
        <v>159</v>
      </c>
      <c r="C10" s="39" t="s">
        <v>117</v>
      </c>
      <c r="D10" s="39">
        <v>4600</v>
      </c>
    </row>
    <row r="11" spans="1:12" x14ac:dyDescent="0.3">
      <c r="B11" s="39" t="s">
        <v>161</v>
      </c>
      <c r="C11" s="39" t="s">
        <v>92</v>
      </c>
      <c r="D11" s="39">
        <v>7300</v>
      </c>
    </row>
  </sheetData>
  <hyperlinks>
    <hyperlink ref="A2" location="Home!A1" display="Home" xr:uid="{2BF33864-A05D-4649-BB96-0870BC3D0EF3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3CBB-0516-49FA-96D6-94BA1EA4E697}">
  <dimension ref="A1:G8"/>
  <sheetViews>
    <sheetView zoomScale="130" zoomScaleNormal="130" workbookViewId="0">
      <pane ySplit="1" topLeftCell="A2" activePane="bottomLeft" state="frozen"/>
      <selection pane="bottomLeft" activeCell="C5" sqref="C5"/>
    </sheetView>
  </sheetViews>
  <sheetFormatPr defaultRowHeight="18.75" x14ac:dyDescent="0.3"/>
  <cols>
    <col min="2" max="2" width="14" customWidth="1"/>
    <col min="3" max="3" width="30.296875" customWidth="1"/>
    <col min="4" max="4" width="14.8984375" customWidth="1"/>
    <col min="5" max="5" width="13.296875" bestFit="1" customWidth="1"/>
    <col min="6" max="6" width="28.296875" bestFit="1" customWidth="1"/>
    <col min="7" max="7" width="9.19921875" bestFit="1" customWidth="1"/>
  </cols>
  <sheetData>
    <row r="1" spans="1:7" s="2" customFormat="1" ht="32.65" customHeight="1" thickBot="1" x14ac:dyDescent="0.35">
      <c r="A1" s="36">
        <v>14</v>
      </c>
      <c r="B1" s="1" t="s">
        <v>20</v>
      </c>
      <c r="C1" s="1"/>
    </row>
    <row r="2" spans="1:7" x14ac:dyDescent="0.3">
      <c r="A2" s="37" t="s">
        <v>2</v>
      </c>
    </row>
    <row r="3" spans="1:7" x14ac:dyDescent="0.3">
      <c r="B3" s="3" t="s">
        <v>83</v>
      </c>
      <c r="C3" s="3" t="s">
        <v>164</v>
      </c>
      <c r="D3" s="3" t="s">
        <v>165</v>
      </c>
      <c r="E3" s="38"/>
      <c r="F3" s="38"/>
      <c r="G3" s="38"/>
    </row>
    <row r="4" spans="1:7" x14ac:dyDescent="0.3">
      <c r="B4" s="39" t="s">
        <v>89</v>
      </c>
      <c r="C4" s="39" t="s">
        <v>166</v>
      </c>
      <c r="D4" s="39"/>
    </row>
    <row r="5" spans="1:7" x14ac:dyDescent="0.3">
      <c r="B5" s="39" t="s">
        <v>91</v>
      </c>
      <c r="C5" s="39"/>
      <c r="D5" s="39"/>
    </row>
    <row r="6" spans="1:7" x14ac:dyDescent="0.3">
      <c r="B6" s="39" t="s">
        <v>93</v>
      </c>
      <c r="C6" s="39" t="s">
        <v>167</v>
      </c>
      <c r="D6" s="39"/>
    </row>
    <row r="7" spans="1:7" x14ac:dyDescent="0.3">
      <c r="B7" s="39" t="s">
        <v>91</v>
      </c>
      <c r="C7" s="39"/>
      <c r="D7" s="39"/>
    </row>
    <row r="8" spans="1:7" x14ac:dyDescent="0.3">
      <c r="B8" s="39" t="s">
        <v>91</v>
      </c>
      <c r="C8" s="39"/>
      <c r="D8" s="39"/>
    </row>
  </sheetData>
  <autoFilter ref="B3:D8" xr:uid="{EAA754A7-21E1-465B-AB9C-AB95E1B682EB}"/>
  <dataValidations count="1">
    <dataValidation type="custom" allowBlank="1" showInputMessage="1" showErrorMessage="1" errorTitle="stop" error="enter 10 digit phone numer" sqref="D4:D8" xr:uid="{4D02624F-CE8D-436D-A53C-D6ED4FC74352}">
      <formula1>LEN(D4)=10</formula1>
    </dataValidation>
  </dataValidations>
  <hyperlinks>
    <hyperlink ref="A2" location="Home!A1" display="Home" xr:uid="{DD124E38-3889-47EA-8F36-71D73A646CB7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CF1A-42E8-4FC3-A743-77E8587FEB10}">
  <dimension ref="A1:L13"/>
  <sheetViews>
    <sheetView zoomScale="130" zoomScaleNormal="130" workbookViewId="0">
      <pane ySplit="1" topLeftCell="A2" activePane="bottomLeft" state="frozen"/>
      <selection pane="bottomLeft" activeCell="I3" sqref="I3"/>
    </sheetView>
  </sheetViews>
  <sheetFormatPr defaultRowHeight="18.75" x14ac:dyDescent="0.3"/>
  <cols>
    <col min="2" max="2" width="14" customWidth="1"/>
    <col min="3" max="3" width="10.3984375" customWidth="1"/>
    <col min="8" max="8" width="11" customWidth="1"/>
    <col min="11" max="11" width="13.296875" bestFit="1" customWidth="1"/>
  </cols>
  <sheetData>
    <row r="1" spans="1:12" s="2" customFormat="1" ht="32.65" customHeight="1" thickBot="1" x14ac:dyDescent="0.35">
      <c r="A1" s="36">
        <v>15</v>
      </c>
      <c r="B1" s="1" t="s">
        <v>168</v>
      </c>
    </row>
    <row r="2" spans="1:12" x14ac:dyDescent="0.3">
      <c r="A2" s="37" t="s">
        <v>2</v>
      </c>
    </row>
    <row r="3" spans="1:12" x14ac:dyDescent="0.3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169</v>
      </c>
      <c r="I3" s="4">
        <f>MAX(D4:F11)</f>
        <v>32000</v>
      </c>
      <c r="K3" s="38"/>
    </row>
    <row r="4" spans="1:12" x14ac:dyDescent="0.3">
      <c r="B4" s="39" t="s">
        <v>170</v>
      </c>
      <c r="C4" s="39" t="s">
        <v>90</v>
      </c>
      <c r="D4" s="39">
        <v>15000</v>
      </c>
      <c r="E4" s="39">
        <v>32000</v>
      </c>
      <c r="F4" s="39">
        <v>22000</v>
      </c>
    </row>
    <row r="5" spans="1:12" x14ac:dyDescent="0.3">
      <c r="B5" s="39" t="s">
        <v>171</v>
      </c>
      <c r="C5" s="39" t="s">
        <v>92</v>
      </c>
      <c r="D5" s="39">
        <v>28000</v>
      </c>
      <c r="E5" s="39">
        <v>9100</v>
      </c>
      <c r="F5" s="39">
        <v>7300</v>
      </c>
      <c r="H5" s="49"/>
      <c r="I5" s="38"/>
      <c r="J5" s="38"/>
      <c r="L5" s="38"/>
    </row>
    <row r="6" spans="1:12" x14ac:dyDescent="0.3">
      <c r="B6" s="39" t="s">
        <v>172</v>
      </c>
      <c r="C6" s="39" t="s">
        <v>94</v>
      </c>
      <c r="D6" s="39">
        <v>8200</v>
      </c>
      <c r="E6" s="39">
        <v>9200</v>
      </c>
      <c r="F6" s="39">
        <v>31000</v>
      </c>
      <c r="H6" s="50"/>
    </row>
    <row r="7" spans="1:12" x14ac:dyDescent="0.3">
      <c r="B7" s="39" t="s">
        <v>170</v>
      </c>
      <c r="C7" s="39" t="s">
        <v>90</v>
      </c>
      <c r="D7" s="39">
        <v>8100</v>
      </c>
      <c r="E7" s="39">
        <v>26500</v>
      </c>
      <c r="F7" s="39">
        <v>29000</v>
      </c>
      <c r="H7" s="50"/>
    </row>
    <row r="8" spans="1:12" x14ac:dyDescent="0.3">
      <c r="B8" s="39" t="s">
        <v>171</v>
      </c>
      <c r="C8" s="39" t="s">
        <v>92</v>
      </c>
      <c r="D8" s="39">
        <v>19000</v>
      </c>
      <c r="E8" s="39">
        <v>8700</v>
      </c>
      <c r="F8" s="39">
        <v>9100</v>
      </c>
      <c r="H8" s="50"/>
    </row>
    <row r="9" spans="1:12" x14ac:dyDescent="0.3">
      <c r="B9" s="39" t="s">
        <v>172</v>
      </c>
      <c r="C9" s="39" t="s">
        <v>94</v>
      </c>
      <c r="D9" s="39">
        <v>27000</v>
      </c>
      <c r="E9" s="39">
        <v>15000</v>
      </c>
      <c r="F9" s="39">
        <v>9200</v>
      </c>
      <c r="H9" s="50"/>
    </row>
    <row r="10" spans="1:12" x14ac:dyDescent="0.3">
      <c r="B10" s="39" t="s">
        <v>170</v>
      </c>
      <c r="C10" s="39" t="s">
        <v>90</v>
      </c>
      <c r="D10" s="39">
        <v>6300</v>
      </c>
      <c r="E10" s="39">
        <v>18000</v>
      </c>
      <c r="F10" s="39">
        <v>17000</v>
      </c>
      <c r="H10" s="50"/>
    </row>
    <row r="11" spans="1:12" x14ac:dyDescent="0.3">
      <c r="B11" s="39" t="s">
        <v>171</v>
      </c>
      <c r="C11" s="39" t="s">
        <v>92</v>
      </c>
      <c r="D11" s="39">
        <v>7200</v>
      </c>
      <c r="E11" s="39">
        <v>26000</v>
      </c>
      <c r="F11" s="39">
        <v>8300</v>
      </c>
      <c r="H11" s="50"/>
    </row>
    <row r="12" spans="1:12" x14ac:dyDescent="0.3">
      <c r="H12" s="50"/>
    </row>
    <row r="13" spans="1:12" x14ac:dyDescent="0.3">
      <c r="H13" s="50"/>
    </row>
  </sheetData>
  <autoFilter ref="B3:B9" xr:uid="{09B368BC-C924-4CE8-A116-A3BF328C21DD}"/>
  <hyperlinks>
    <hyperlink ref="A2" location="Home!A1" display="Home" xr:uid="{B0153D43-FED6-4DCC-A3A2-FB44CC4D304A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2E4F7-EE07-4030-B700-8FAA5C0B8572}">
  <dimension ref="A1:L11"/>
  <sheetViews>
    <sheetView zoomScale="130" zoomScaleNormal="130" workbookViewId="0">
      <pane ySplit="1" topLeftCell="A2" activePane="bottomLeft" state="frozen"/>
      <selection pane="bottomLeft" activeCell="I6" sqref="I6"/>
    </sheetView>
  </sheetViews>
  <sheetFormatPr defaultRowHeight="18.75" x14ac:dyDescent="0.3"/>
  <cols>
    <col min="2" max="2" width="14" customWidth="1"/>
    <col min="3" max="3" width="10.3984375" customWidth="1"/>
    <col min="8" max="8" width="14.796875" customWidth="1"/>
    <col min="11" max="11" width="13.296875" bestFit="1" customWidth="1"/>
  </cols>
  <sheetData>
    <row r="1" spans="1:12" s="2" customFormat="1" ht="32.65" customHeight="1" thickBot="1" x14ac:dyDescent="0.35">
      <c r="A1" s="36">
        <v>16</v>
      </c>
      <c r="B1" s="1" t="s">
        <v>173</v>
      </c>
    </row>
    <row r="2" spans="1:12" x14ac:dyDescent="0.3">
      <c r="A2" s="37" t="s">
        <v>2</v>
      </c>
    </row>
    <row r="3" spans="1:12" x14ac:dyDescent="0.3">
      <c r="B3" s="40" t="s">
        <v>83</v>
      </c>
      <c r="C3" s="40" t="s">
        <v>84</v>
      </c>
      <c r="D3" s="40" t="s">
        <v>85</v>
      </c>
      <c r="E3" s="40" t="s">
        <v>86</v>
      </c>
      <c r="F3" s="40" t="s">
        <v>87</v>
      </c>
      <c r="H3" s="3" t="s">
        <v>174</v>
      </c>
      <c r="I3" s="4">
        <f>LARGE(D4:F11,1)</f>
        <v>99600</v>
      </c>
      <c r="K3" s="38"/>
    </row>
    <row r="4" spans="1:12" x14ac:dyDescent="0.3">
      <c r="B4" s="39" t="s">
        <v>175</v>
      </c>
      <c r="C4" s="39" t="s">
        <v>90</v>
      </c>
      <c r="D4" s="39">
        <v>15500</v>
      </c>
      <c r="E4" s="39">
        <v>29500</v>
      </c>
      <c r="F4" s="39">
        <v>22000</v>
      </c>
      <c r="H4" s="3" t="s">
        <v>176</v>
      </c>
      <c r="I4" s="4">
        <f>LARGE(D4:F11,2)</f>
        <v>34000</v>
      </c>
    </row>
    <row r="5" spans="1:12" x14ac:dyDescent="0.3">
      <c r="B5" s="39" t="s">
        <v>177</v>
      </c>
      <c r="C5" s="39" t="s">
        <v>92</v>
      </c>
      <c r="D5" s="39">
        <v>28500</v>
      </c>
      <c r="E5" s="39">
        <v>9400</v>
      </c>
      <c r="F5" s="39">
        <v>7200</v>
      </c>
      <c r="H5" s="3" t="s">
        <v>178</v>
      </c>
      <c r="I5" s="4">
        <f>LARGE(D4:F11,3)</f>
        <v>31000</v>
      </c>
    </row>
    <row r="6" spans="1:12" x14ac:dyDescent="0.3">
      <c r="B6" s="39" t="s">
        <v>179</v>
      </c>
      <c r="C6" s="39" t="s">
        <v>94</v>
      </c>
      <c r="D6" s="39">
        <v>8200</v>
      </c>
      <c r="E6" s="39">
        <v>99600</v>
      </c>
      <c r="F6" s="39">
        <v>30500</v>
      </c>
    </row>
    <row r="7" spans="1:12" x14ac:dyDescent="0.3">
      <c r="B7" s="39" t="s">
        <v>175</v>
      </c>
      <c r="C7" s="39" t="s">
        <v>90</v>
      </c>
      <c r="D7" s="39">
        <v>34000</v>
      </c>
      <c r="E7" s="39">
        <v>28000</v>
      </c>
      <c r="F7" s="39">
        <v>31000</v>
      </c>
      <c r="H7" s="38"/>
      <c r="I7" s="38"/>
      <c r="J7" s="38"/>
      <c r="L7" s="38"/>
    </row>
    <row r="8" spans="1:12" x14ac:dyDescent="0.3">
      <c r="B8" s="39" t="s">
        <v>177</v>
      </c>
      <c r="C8" s="39" t="s">
        <v>92</v>
      </c>
      <c r="D8" s="39">
        <v>26500</v>
      </c>
      <c r="E8" s="39">
        <v>8700</v>
      </c>
      <c r="F8" s="39">
        <v>9100</v>
      </c>
    </row>
    <row r="9" spans="1:12" x14ac:dyDescent="0.3">
      <c r="B9" s="39" t="s">
        <v>179</v>
      </c>
      <c r="C9" s="39" t="s">
        <v>94</v>
      </c>
      <c r="D9" s="39">
        <v>27000</v>
      </c>
      <c r="E9" s="39">
        <v>14000</v>
      </c>
      <c r="F9" s="39">
        <v>9800</v>
      </c>
    </row>
    <row r="10" spans="1:12" x14ac:dyDescent="0.3">
      <c r="B10" s="39" t="s">
        <v>175</v>
      </c>
      <c r="C10" s="39" t="s">
        <v>90</v>
      </c>
      <c r="D10" s="39">
        <v>6300</v>
      </c>
      <c r="E10" s="39">
        <v>17500</v>
      </c>
      <c r="F10" s="39">
        <v>16500</v>
      </c>
    </row>
    <row r="11" spans="1:12" x14ac:dyDescent="0.3">
      <c r="B11" s="39" t="s">
        <v>177</v>
      </c>
      <c r="C11" s="39" t="s">
        <v>92</v>
      </c>
      <c r="D11" s="39">
        <v>7900</v>
      </c>
      <c r="E11" s="39">
        <v>21000</v>
      </c>
      <c r="F11" s="39">
        <v>8600</v>
      </c>
    </row>
  </sheetData>
  <autoFilter ref="B3:B9" xr:uid="{DD7D34B8-69ED-46BE-8450-A8234407AF73}"/>
  <hyperlinks>
    <hyperlink ref="A2" location="Home!A1" display="Home" xr:uid="{3609775D-D1E5-4735-9CB5-748AD6A316C7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F064-BFF6-4FD1-B64E-8DC5186F688F}">
  <dimension ref="A1:J11"/>
  <sheetViews>
    <sheetView zoomScale="130" zoomScaleNormal="130" workbookViewId="0">
      <pane ySplit="1" topLeftCell="A2" activePane="bottomLeft" state="frozen"/>
      <selection pane="bottomLeft" activeCell="I3" sqref="I3"/>
    </sheetView>
  </sheetViews>
  <sheetFormatPr defaultRowHeight="18.75" x14ac:dyDescent="0.3"/>
  <cols>
    <col min="2" max="2" width="14" customWidth="1"/>
    <col min="3" max="3" width="10.3984375" customWidth="1"/>
    <col min="10" max="10" width="13.296875" bestFit="1" customWidth="1"/>
  </cols>
  <sheetData>
    <row r="1" spans="1:10" s="2" customFormat="1" ht="32.65" customHeight="1" thickBot="1" x14ac:dyDescent="0.35">
      <c r="A1" s="36">
        <v>17</v>
      </c>
      <c r="B1" s="1" t="s">
        <v>180</v>
      </c>
    </row>
    <row r="2" spans="1:10" x14ac:dyDescent="0.3">
      <c r="A2" s="37" t="s">
        <v>2</v>
      </c>
    </row>
    <row r="3" spans="1:10" x14ac:dyDescent="0.3">
      <c r="B3" s="66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181</v>
      </c>
      <c r="I3" s="4">
        <f>MIN(D4:F11)</f>
        <v>6300</v>
      </c>
      <c r="J3" s="38"/>
    </row>
    <row r="4" spans="1:10" x14ac:dyDescent="0.3">
      <c r="B4" s="39" t="s">
        <v>142</v>
      </c>
      <c r="C4" s="4" t="s">
        <v>90</v>
      </c>
      <c r="D4" s="39">
        <v>15500</v>
      </c>
      <c r="E4" s="39">
        <v>29500</v>
      </c>
      <c r="F4" s="39">
        <v>22000</v>
      </c>
    </row>
    <row r="5" spans="1:10" x14ac:dyDescent="0.3">
      <c r="B5" s="39" t="s">
        <v>182</v>
      </c>
      <c r="C5" s="4" t="s">
        <v>92</v>
      </c>
      <c r="D5" s="39">
        <v>28500</v>
      </c>
      <c r="E5" s="39">
        <v>9400</v>
      </c>
      <c r="F5" s="39">
        <v>7200</v>
      </c>
    </row>
    <row r="6" spans="1:10" x14ac:dyDescent="0.3">
      <c r="B6" s="39" t="s">
        <v>183</v>
      </c>
      <c r="C6" s="4" t="s">
        <v>94</v>
      </c>
      <c r="D6" s="39">
        <v>8200</v>
      </c>
      <c r="E6" s="39">
        <v>99600</v>
      </c>
      <c r="F6" s="39">
        <v>30500</v>
      </c>
    </row>
    <row r="7" spans="1:10" x14ac:dyDescent="0.3">
      <c r="B7" s="39" t="s">
        <v>142</v>
      </c>
      <c r="C7" s="4" t="s">
        <v>90</v>
      </c>
      <c r="D7" s="39">
        <v>34000</v>
      </c>
      <c r="E7" s="39">
        <v>28000</v>
      </c>
      <c r="F7" s="39">
        <v>31000</v>
      </c>
    </row>
    <row r="8" spans="1:10" x14ac:dyDescent="0.3">
      <c r="B8" s="39" t="s">
        <v>182</v>
      </c>
      <c r="C8" s="4" t="s">
        <v>92</v>
      </c>
      <c r="D8" s="39">
        <v>26500</v>
      </c>
      <c r="E8" s="39">
        <v>8700</v>
      </c>
      <c r="F8" s="39">
        <v>9100</v>
      </c>
    </row>
    <row r="9" spans="1:10" x14ac:dyDescent="0.3">
      <c r="B9" s="39" t="s">
        <v>183</v>
      </c>
      <c r="C9" s="4" t="s">
        <v>94</v>
      </c>
      <c r="D9" s="39">
        <v>27000</v>
      </c>
      <c r="E9" s="39">
        <v>14000</v>
      </c>
      <c r="F9" s="39">
        <v>9800</v>
      </c>
    </row>
    <row r="10" spans="1:10" x14ac:dyDescent="0.3">
      <c r="B10" s="39" t="s">
        <v>142</v>
      </c>
      <c r="C10" s="4" t="s">
        <v>90</v>
      </c>
      <c r="D10" s="39">
        <v>6300</v>
      </c>
      <c r="E10" s="39">
        <v>17500</v>
      </c>
      <c r="F10" s="39">
        <v>16500</v>
      </c>
    </row>
    <row r="11" spans="1:10" x14ac:dyDescent="0.3">
      <c r="B11" s="39" t="s">
        <v>182</v>
      </c>
      <c r="C11" s="4" t="s">
        <v>92</v>
      </c>
      <c r="D11" s="39">
        <v>7900</v>
      </c>
      <c r="E11" s="39">
        <v>21000</v>
      </c>
      <c r="F11" s="39">
        <v>8600</v>
      </c>
    </row>
  </sheetData>
  <autoFilter ref="B3:B9" xr:uid="{F0C893C0-7FEC-47C3-96C3-E0F7FE1B93B9}"/>
  <hyperlinks>
    <hyperlink ref="A2" location="Home!A1" display="Home" xr:uid="{D75D348C-9525-44E0-9A5F-EA1BFE5E4FB5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E4C6-1F18-4B4E-AA97-08ECDD4AEF6D}">
  <dimension ref="A1:K11"/>
  <sheetViews>
    <sheetView zoomScale="130" zoomScaleNormal="130" workbookViewId="0">
      <pane ySplit="1" topLeftCell="A2" activePane="bottomLeft" state="frozen"/>
      <selection pane="bottomLeft" activeCell="I6" sqref="I6"/>
    </sheetView>
  </sheetViews>
  <sheetFormatPr defaultRowHeight="18.75" x14ac:dyDescent="0.3"/>
  <cols>
    <col min="2" max="2" width="14" customWidth="1"/>
    <col min="3" max="3" width="10.3984375" customWidth="1"/>
    <col min="8" max="8" width="15.3984375" customWidth="1"/>
    <col min="11" max="11" width="13.296875" bestFit="1" customWidth="1"/>
  </cols>
  <sheetData>
    <row r="1" spans="1:11" s="2" customFormat="1" ht="32.65" customHeight="1" thickBot="1" x14ac:dyDescent="0.35">
      <c r="A1" s="36">
        <v>18</v>
      </c>
      <c r="B1" s="1" t="s">
        <v>184</v>
      </c>
    </row>
    <row r="2" spans="1:11" x14ac:dyDescent="0.3">
      <c r="A2" s="37" t="s">
        <v>2</v>
      </c>
    </row>
    <row r="3" spans="1:11" x14ac:dyDescent="0.3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185</v>
      </c>
      <c r="I3" s="4">
        <f>SMALL(D4:F11,1)</f>
        <v>6300</v>
      </c>
      <c r="K3" s="38"/>
    </row>
    <row r="4" spans="1:11" x14ac:dyDescent="0.3">
      <c r="B4" s="39" t="s">
        <v>186</v>
      </c>
      <c r="C4" s="4" t="s">
        <v>90</v>
      </c>
      <c r="D4" s="39">
        <v>15500</v>
      </c>
      <c r="E4" s="39">
        <v>29500</v>
      </c>
      <c r="F4" s="39">
        <v>22000</v>
      </c>
      <c r="H4" s="3" t="s">
        <v>187</v>
      </c>
      <c r="I4" s="4">
        <f>SMALL(D4:F11,2)</f>
        <v>7200</v>
      </c>
    </row>
    <row r="5" spans="1:11" x14ac:dyDescent="0.3">
      <c r="B5" s="39" t="s">
        <v>188</v>
      </c>
      <c r="C5" s="4" t="s">
        <v>92</v>
      </c>
      <c r="D5" s="39">
        <v>28500</v>
      </c>
      <c r="E5" s="39">
        <v>9400</v>
      </c>
      <c r="F5" s="39">
        <v>7200</v>
      </c>
      <c r="H5" s="3" t="s">
        <v>189</v>
      </c>
      <c r="I5" s="4">
        <f>SMALL(D4:F11,3)</f>
        <v>7900</v>
      </c>
    </row>
    <row r="6" spans="1:11" x14ac:dyDescent="0.3">
      <c r="B6" s="39" t="s">
        <v>190</v>
      </c>
      <c r="C6" s="4" t="s">
        <v>94</v>
      </c>
      <c r="D6" s="39">
        <v>8200</v>
      </c>
      <c r="E6" s="39">
        <v>99600</v>
      </c>
      <c r="F6" s="39">
        <v>30500</v>
      </c>
    </row>
    <row r="7" spans="1:11" x14ac:dyDescent="0.3">
      <c r="B7" s="39" t="s">
        <v>186</v>
      </c>
      <c r="C7" s="4" t="s">
        <v>90</v>
      </c>
      <c r="D7" s="39">
        <v>34000</v>
      </c>
      <c r="E7" s="39">
        <v>28000</v>
      </c>
      <c r="F7" s="39">
        <v>31000</v>
      </c>
    </row>
    <row r="8" spans="1:11" x14ac:dyDescent="0.3">
      <c r="B8" s="39" t="s">
        <v>188</v>
      </c>
      <c r="C8" s="4" t="s">
        <v>92</v>
      </c>
      <c r="D8" s="39">
        <v>26500</v>
      </c>
      <c r="E8" s="39">
        <v>8700</v>
      </c>
      <c r="F8" s="39">
        <v>9100</v>
      </c>
    </row>
    <row r="9" spans="1:11" x14ac:dyDescent="0.3">
      <c r="B9" s="39" t="s">
        <v>190</v>
      </c>
      <c r="C9" s="4" t="s">
        <v>94</v>
      </c>
      <c r="D9" s="39">
        <v>27000</v>
      </c>
      <c r="E9" s="39">
        <v>14000</v>
      </c>
      <c r="F9" s="39">
        <v>9800</v>
      </c>
    </row>
    <row r="10" spans="1:11" x14ac:dyDescent="0.3">
      <c r="B10" s="39" t="s">
        <v>186</v>
      </c>
      <c r="C10" s="4" t="s">
        <v>90</v>
      </c>
      <c r="D10" s="39">
        <v>6300</v>
      </c>
      <c r="E10" s="39">
        <v>17500</v>
      </c>
      <c r="F10" s="39">
        <v>16500</v>
      </c>
    </row>
    <row r="11" spans="1:11" x14ac:dyDescent="0.3">
      <c r="B11" s="39" t="s">
        <v>188</v>
      </c>
      <c r="C11" s="4" t="s">
        <v>92</v>
      </c>
      <c r="D11" s="39">
        <v>7900</v>
      </c>
      <c r="E11" s="39">
        <v>21000</v>
      </c>
      <c r="F11" s="39">
        <v>8600</v>
      </c>
    </row>
  </sheetData>
  <autoFilter ref="B3:B9" xr:uid="{FA089B14-630D-43E3-8FC4-53037030C11E}"/>
  <hyperlinks>
    <hyperlink ref="A2" location="Home!A1" display="Home" xr:uid="{B14BB348-96D1-432A-8A64-263FE84AB83F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D97A-C8EC-40C7-9631-A8D1FDBD7CAE}">
  <dimension ref="A1:L11"/>
  <sheetViews>
    <sheetView zoomScale="130" zoomScaleNormal="130" workbookViewId="0">
      <pane ySplit="1" topLeftCell="A2" activePane="bottomLeft" state="frozen"/>
      <selection pane="bottomLeft" activeCell="H6" sqref="H6"/>
    </sheetView>
  </sheetViews>
  <sheetFormatPr defaultRowHeight="18.75" x14ac:dyDescent="0.3"/>
  <cols>
    <col min="2" max="2" width="14" customWidth="1"/>
    <col min="3" max="5" width="6.3984375" customWidth="1"/>
    <col min="6" max="6" width="11.59765625" customWidth="1"/>
    <col min="7" max="7" width="13.3984375" customWidth="1"/>
    <col min="9" max="9" width="9.796875" bestFit="1" customWidth="1"/>
  </cols>
  <sheetData>
    <row r="1" spans="1:12" s="2" customFormat="1" ht="32.65" customHeight="1" thickBot="1" x14ac:dyDescent="0.35">
      <c r="A1" s="36">
        <v>19</v>
      </c>
      <c r="B1" s="1" t="s">
        <v>191</v>
      </c>
    </row>
    <row r="2" spans="1:12" x14ac:dyDescent="0.3">
      <c r="A2" s="37" t="s">
        <v>2</v>
      </c>
    </row>
    <row r="3" spans="1:12" x14ac:dyDescent="0.3">
      <c r="B3" s="42" t="s">
        <v>192</v>
      </c>
      <c r="C3" s="42" t="s">
        <v>193</v>
      </c>
      <c r="D3" s="42" t="s">
        <v>194</v>
      </c>
      <c r="E3" s="42" t="s">
        <v>195</v>
      </c>
      <c r="F3" s="3" t="s">
        <v>196</v>
      </c>
      <c r="G3" s="3" t="s">
        <v>197</v>
      </c>
      <c r="I3" s="38"/>
      <c r="J3" s="38"/>
      <c r="K3" s="38"/>
      <c r="L3" s="38"/>
    </row>
    <row r="4" spans="1:12" x14ac:dyDescent="0.3">
      <c r="B4" s="39" t="s">
        <v>198</v>
      </c>
      <c r="C4" s="39">
        <v>58</v>
      </c>
      <c r="D4" s="39">
        <v>49</v>
      </c>
      <c r="E4" s="39">
        <v>47</v>
      </c>
      <c r="F4" s="43">
        <f t="shared" ref="F4:F11" si="0">SUM(C4:E4)</f>
        <v>154</v>
      </c>
      <c r="G4" s="4">
        <f>RANK(F4,$F$4:$F$11,0)</f>
        <v>8</v>
      </c>
    </row>
    <row r="5" spans="1:12" x14ac:dyDescent="0.3">
      <c r="B5" s="39" t="s">
        <v>199</v>
      </c>
      <c r="C5" s="39">
        <v>42</v>
      </c>
      <c r="D5" s="39">
        <v>60</v>
      </c>
      <c r="E5" s="39">
        <v>72</v>
      </c>
      <c r="F5" s="43">
        <f t="shared" si="0"/>
        <v>174</v>
      </c>
      <c r="G5" s="4">
        <f t="shared" ref="G5:G11" si="1">RANK(F5,$F$4:$F$11,0)</f>
        <v>6</v>
      </c>
    </row>
    <row r="6" spans="1:12" x14ac:dyDescent="0.3">
      <c r="B6" s="39" t="s">
        <v>200</v>
      </c>
      <c r="C6" s="39">
        <v>67</v>
      </c>
      <c r="D6" s="39">
        <v>59</v>
      </c>
      <c r="E6" s="39">
        <v>35</v>
      </c>
      <c r="F6" s="43">
        <f t="shared" si="0"/>
        <v>161</v>
      </c>
      <c r="G6" s="4">
        <f t="shared" si="1"/>
        <v>7</v>
      </c>
    </row>
    <row r="7" spans="1:12" x14ac:dyDescent="0.3">
      <c r="B7" s="39" t="s">
        <v>201</v>
      </c>
      <c r="C7" s="39">
        <v>54</v>
      </c>
      <c r="D7" s="39">
        <v>53</v>
      </c>
      <c r="E7" s="39">
        <v>70</v>
      </c>
      <c r="F7" s="43">
        <f t="shared" si="0"/>
        <v>177</v>
      </c>
      <c r="G7" s="4">
        <f t="shared" si="1"/>
        <v>5</v>
      </c>
    </row>
    <row r="8" spans="1:12" x14ac:dyDescent="0.3">
      <c r="B8" s="39" t="s">
        <v>202</v>
      </c>
      <c r="C8" s="39">
        <v>81</v>
      </c>
      <c r="D8" s="39">
        <v>61</v>
      </c>
      <c r="E8" s="39">
        <v>42</v>
      </c>
      <c r="F8" s="43">
        <f t="shared" si="0"/>
        <v>184</v>
      </c>
      <c r="G8" s="4">
        <f t="shared" si="1"/>
        <v>4</v>
      </c>
    </row>
    <row r="9" spans="1:12" x14ac:dyDescent="0.3">
      <c r="B9" s="39" t="s">
        <v>203</v>
      </c>
      <c r="C9" s="39">
        <v>51</v>
      </c>
      <c r="D9" s="39">
        <v>92</v>
      </c>
      <c r="E9" s="39">
        <v>66</v>
      </c>
      <c r="F9" s="43">
        <f t="shared" si="0"/>
        <v>209</v>
      </c>
      <c r="G9" s="4">
        <f t="shared" si="1"/>
        <v>3</v>
      </c>
    </row>
    <row r="10" spans="1:12" x14ac:dyDescent="0.3">
      <c r="B10" s="39" t="s">
        <v>204</v>
      </c>
      <c r="C10" s="39">
        <v>78</v>
      </c>
      <c r="D10" s="39">
        <v>87</v>
      </c>
      <c r="E10" s="39">
        <v>60</v>
      </c>
      <c r="F10" s="43">
        <f t="shared" si="0"/>
        <v>225</v>
      </c>
      <c r="G10" s="4">
        <f t="shared" si="1"/>
        <v>2</v>
      </c>
    </row>
    <row r="11" spans="1:12" x14ac:dyDescent="0.3">
      <c r="B11" s="39" t="s">
        <v>205</v>
      </c>
      <c r="C11" s="39">
        <v>89</v>
      </c>
      <c r="D11" s="39">
        <v>71</v>
      </c>
      <c r="E11" s="39">
        <v>85</v>
      </c>
      <c r="F11" s="43">
        <f t="shared" si="0"/>
        <v>245</v>
      </c>
      <c r="G11" s="4">
        <f t="shared" si="1"/>
        <v>1</v>
      </c>
    </row>
  </sheetData>
  <autoFilter ref="B3:B9" xr:uid="{EB1FD169-E7B5-4D04-A2D7-A19A6369102B}"/>
  <phoneticPr fontId="1" type="noConversion"/>
  <hyperlinks>
    <hyperlink ref="A2" location="Home!A1" display="Home" xr:uid="{D4BE48D4-B8DC-488F-A948-E4B81FFDD72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03B6-F534-4FD8-94F1-CFFF2EF75B0D}">
  <dimension ref="A1:E11"/>
  <sheetViews>
    <sheetView zoomScale="130" zoomScaleNormal="130" workbookViewId="0">
      <pane ySplit="1" topLeftCell="A2" activePane="bottomLeft" state="frozen"/>
      <selection pane="bottomLeft" activeCell="E4" sqref="E4"/>
    </sheetView>
  </sheetViews>
  <sheetFormatPr defaultRowHeight="18.75" x14ac:dyDescent="0.3"/>
  <cols>
    <col min="2" max="2" width="14" customWidth="1"/>
    <col min="3" max="3" width="11.59765625" customWidth="1"/>
  </cols>
  <sheetData>
    <row r="1" spans="1:5" s="2" customFormat="1" ht="32.65" customHeight="1" thickBot="1" x14ac:dyDescent="0.35">
      <c r="A1" s="36">
        <v>20</v>
      </c>
      <c r="B1" s="1" t="s">
        <v>206</v>
      </c>
    </row>
    <row r="2" spans="1:5" x14ac:dyDescent="0.3">
      <c r="A2" s="37" t="s">
        <v>2</v>
      </c>
    </row>
    <row r="3" spans="1:5" x14ac:dyDescent="0.3">
      <c r="B3" s="3" t="s">
        <v>192</v>
      </c>
      <c r="C3" s="3" t="s">
        <v>196</v>
      </c>
    </row>
    <row r="4" spans="1:5" x14ac:dyDescent="0.3">
      <c r="B4" s="52" t="s">
        <v>198</v>
      </c>
      <c r="C4" s="39">
        <v>154</v>
      </c>
      <c r="E4">
        <f>COUNT(C4:C11)</f>
        <v>6</v>
      </c>
    </row>
    <row r="5" spans="1:5" x14ac:dyDescent="0.3">
      <c r="B5" s="52" t="s">
        <v>199</v>
      </c>
      <c r="C5" s="39">
        <v>174</v>
      </c>
    </row>
    <row r="6" spans="1:5" x14ac:dyDescent="0.3">
      <c r="B6" s="52" t="s">
        <v>200</v>
      </c>
      <c r="C6" s="39" t="s">
        <v>207</v>
      </c>
    </row>
    <row r="7" spans="1:5" x14ac:dyDescent="0.3">
      <c r="B7" s="52" t="s">
        <v>201</v>
      </c>
      <c r="C7" s="39">
        <v>177</v>
      </c>
    </row>
    <row r="8" spans="1:5" x14ac:dyDescent="0.3">
      <c r="B8" s="52" t="s">
        <v>202</v>
      </c>
      <c r="C8" s="39" t="s">
        <v>207</v>
      </c>
    </row>
    <row r="9" spans="1:5" x14ac:dyDescent="0.3">
      <c r="B9" s="52" t="s">
        <v>203</v>
      </c>
      <c r="C9" s="39">
        <v>209</v>
      </c>
    </row>
    <row r="10" spans="1:5" x14ac:dyDescent="0.3">
      <c r="B10" s="52" t="s">
        <v>204</v>
      </c>
      <c r="C10" s="39">
        <v>225</v>
      </c>
    </row>
    <row r="11" spans="1:5" x14ac:dyDescent="0.3">
      <c r="B11" s="52" t="s">
        <v>205</v>
      </c>
      <c r="C11" s="39">
        <v>245</v>
      </c>
    </row>
  </sheetData>
  <autoFilter ref="B3:B9" xr:uid="{2221EFE5-0EE6-43E6-925F-A60010765BC0}"/>
  <hyperlinks>
    <hyperlink ref="A2" location="Home!A1" display="Home" xr:uid="{3B5A27A9-EBA3-4A6D-9527-2DB66497429D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ED1C-1FCC-4757-B043-5F36993030D1}">
  <dimension ref="A1:D11"/>
  <sheetViews>
    <sheetView zoomScale="130" zoomScaleNormal="130" workbookViewId="0">
      <pane ySplit="1" topLeftCell="A2" activePane="bottomLeft" state="frozen"/>
      <selection pane="bottomLeft" activeCell="D4" sqref="D4"/>
    </sheetView>
  </sheetViews>
  <sheetFormatPr defaultRowHeight="18.75" x14ac:dyDescent="0.3"/>
  <cols>
    <col min="2" max="2" width="14" customWidth="1"/>
  </cols>
  <sheetData>
    <row r="1" spans="1:4" s="2" customFormat="1" ht="32.65" customHeight="1" thickBot="1" x14ac:dyDescent="0.35">
      <c r="A1" s="36">
        <v>21</v>
      </c>
      <c r="B1" s="1" t="s">
        <v>208</v>
      </c>
    </row>
    <row r="2" spans="1:4" x14ac:dyDescent="0.3">
      <c r="A2" s="37" t="s">
        <v>2</v>
      </c>
    </row>
    <row r="3" spans="1:4" x14ac:dyDescent="0.3">
      <c r="B3" s="42" t="s">
        <v>209</v>
      </c>
    </row>
    <row r="4" spans="1:4" x14ac:dyDescent="0.3">
      <c r="B4" s="39">
        <v>154</v>
      </c>
      <c r="D4">
        <f>COUNTA(B4:B10)</f>
        <v>6</v>
      </c>
    </row>
    <row r="5" spans="1:4" x14ac:dyDescent="0.3">
      <c r="B5" s="39">
        <v>174</v>
      </c>
    </row>
    <row r="6" spans="1:4" x14ac:dyDescent="0.3">
      <c r="B6" s="39" t="s">
        <v>210</v>
      </c>
    </row>
    <row r="7" spans="1:4" x14ac:dyDescent="0.3">
      <c r="B7" s="39">
        <v>177</v>
      </c>
    </row>
    <row r="8" spans="1:4" x14ac:dyDescent="0.3">
      <c r="B8" s="39" t="e">
        <v>#N/A</v>
      </c>
    </row>
    <row r="9" spans="1:4" x14ac:dyDescent="0.3">
      <c r="B9" s="39"/>
    </row>
    <row r="10" spans="1:4" x14ac:dyDescent="0.3">
      <c r="B10" s="39">
        <v>225</v>
      </c>
    </row>
    <row r="11" spans="1:4" x14ac:dyDescent="0.3">
      <c r="B11" s="39"/>
    </row>
  </sheetData>
  <autoFilter ref="B3:B9" xr:uid="{7505AC2C-8FFD-44C5-AA56-011CAEAD8702}"/>
  <hyperlinks>
    <hyperlink ref="A2" location="Home!A1" display="Home" xr:uid="{E46F78AD-0877-4A20-B27A-A32455D0DFBF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CCDA-6700-4B0C-B6DA-5DC51518CDFA}">
  <dimension ref="A1:G12"/>
  <sheetViews>
    <sheetView zoomScale="130" zoomScaleNormal="130" workbookViewId="0">
      <pane ySplit="1" topLeftCell="A2" activePane="bottomLeft" state="frozen"/>
      <selection pane="bottomLeft" activeCell="G7" sqref="G7"/>
    </sheetView>
  </sheetViews>
  <sheetFormatPr defaultRowHeight="18.75" x14ac:dyDescent="0.3"/>
  <cols>
    <col min="2" max="2" width="14" customWidth="1"/>
    <col min="3" max="3" width="11.59765625" customWidth="1"/>
  </cols>
  <sheetData>
    <row r="1" spans="1:7" s="2" customFormat="1" ht="32.65" customHeight="1" thickBot="1" x14ac:dyDescent="0.35">
      <c r="A1" s="36">
        <v>22</v>
      </c>
      <c r="B1" s="1" t="s">
        <v>211</v>
      </c>
    </row>
    <row r="2" spans="1:7" x14ac:dyDescent="0.3">
      <c r="A2" s="37" t="s">
        <v>2</v>
      </c>
    </row>
    <row r="3" spans="1:7" x14ac:dyDescent="0.3">
      <c r="B3" s="3" t="s">
        <v>192</v>
      </c>
      <c r="C3" s="42" t="s">
        <v>196</v>
      </c>
      <c r="E3" t="s">
        <v>212</v>
      </c>
    </row>
    <row r="4" spans="1:7" x14ac:dyDescent="0.3">
      <c r="B4" s="52" t="s">
        <v>198</v>
      </c>
      <c r="C4" s="39">
        <v>154</v>
      </c>
      <c r="E4">
        <f>COUNTBLANK(C4:C11)</f>
        <v>2</v>
      </c>
    </row>
    <row r="5" spans="1:7" x14ac:dyDescent="0.3">
      <c r="B5" s="52" t="s">
        <v>199</v>
      </c>
      <c r="C5" s="39">
        <v>174</v>
      </c>
      <c r="G5">
        <v>154</v>
      </c>
    </row>
    <row r="6" spans="1:7" x14ac:dyDescent="0.3">
      <c r="B6" s="52" t="s">
        <v>200</v>
      </c>
      <c r="C6" s="39"/>
      <c r="G6">
        <v>174</v>
      </c>
    </row>
    <row r="7" spans="1:7" x14ac:dyDescent="0.3">
      <c r="B7" s="52" t="s">
        <v>201</v>
      </c>
      <c r="C7" s="39">
        <v>177</v>
      </c>
      <c r="G7">
        <v>161</v>
      </c>
    </row>
    <row r="8" spans="1:7" x14ac:dyDescent="0.3">
      <c r="B8" s="52" t="s">
        <v>202</v>
      </c>
      <c r="C8" s="39"/>
      <c r="G8">
        <v>177</v>
      </c>
    </row>
    <row r="9" spans="1:7" x14ac:dyDescent="0.3">
      <c r="B9" s="52" t="s">
        <v>203</v>
      </c>
      <c r="C9" s="39">
        <v>209</v>
      </c>
      <c r="G9">
        <v>184</v>
      </c>
    </row>
    <row r="10" spans="1:7" x14ac:dyDescent="0.3">
      <c r="B10" s="52" t="s">
        <v>204</v>
      </c>
      <c r="C10" s="39">
        <v>225</v>
      </c>
      <c r="G10">
        <v>209</v>
      </c>
    </row>
    <row r="11" spans="1:7" x14ac:dyDescent="0.3">
      <c r="B11" s="52" t="s">
        <v>205</v>
      </c>
      <c r="C11" s="39">
        <v>245</v>
      </c>
      <c r="G11">
        <v>225</v>
      </c>
    </row>
    <row r="12" spans="1:7" x14ac:dyDescent="0.3">
      <c r="G12">
        <v>245</v>
      </c>
    </row>
  </sheetData>
  <autoFilter ref="B3:B9" xr:uid="{A9B4DE79-DE11-4671-8C7D-13459F4ADBD8}"/>
  <hyperlinks>
    <hyperlink ref="A2" location="Home!A1" display="Home" xr:uid="{4CF9C8A1-8FDB-4783-A3AD-C1A9618C279C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94B65-B555-41B0-A91B-1F33679843E4}">
  <dimension ref="A1:J27"/>
  <sheetViews>
    <sheetView tabSelected="1" zoomScale="130" zoomScaleNormal="130" workbookViewId="0">
      <pane ySplit="1" topLeftCell="A15" activePane="bottomLeft" state="frozen"/>
      <selection pane="bottomLeft" activeCell="G18" sqref="G18"/>
    </sheetView>
  </sheetViews>
  <sheetFormatPr defaultRowHeight="18.75" x14ac:dyDescent="0.3"/>
  <cols>
    <col min="2" max="2" width="14" customWidth="1"/>
    <col min="6" max="6" width="14" customWidth="1"/>
    <col min="7" max="7" width="12.59765625" customWidth="1"/>
    <col min="8" max="8" width="14" bestFit="1" customWidth="1"/>
  </cols>
  <sheetData>
    <row r="1" spans="1:10" s="2" customFormat="1" ht="32.65" customHeight="1" thickBot="1" x14ac:dyDescent="0.35">
      <c r="A1" s="36">
        <v>23</v>
      </c>
      <c r="B1" s="1" t="s">
        <v>213</v>
      </c>
    </row>
    <row r="2" spans="1:10" x14ac:dyDescent="0.3">
      <c r="A2" s="37" t="s">
        <v>2</v>
      </c>
    </row>
    <row r="3" spans="1:10" x14ac:dyDescent="0.3">
      <c r="B3" s="40" t="s">
        <v>83</v>
      </c>
      <c r="C3" s="40" t="s">
        <v>84</v>
      </c>
      <c r="D3" s="40" t="s">
        <v>96</v>
      </c>
      <c r="F3" s="42" t="s">
        <v>83</v>
      </c>
      <c r="G3" s="3" t="s">
        <v>214</v>
      </c>
      <c r="H3" s="38"/>
      <c r="I3" s="38"/>
      <c r="J3" s="38"/>
    </row>
    <row r="4" spans="1:10" x14ac:dyDescent="0.3">
      <c r="B4" s="39" t="s">
        <v>215</v>
      </c>
      <c r="C4" s="39" t="s">
        <v>90</v>
      </c>
      <c r="D4" s="39">
        <v>19500</v>
      </c>
      <c r="F4" s="39" t="s">
        <v>216</v>
      </c>
      <c r="G4" s="43">
        <f>COUNTIF(B4:B13,F4)</f>
        <v>2</v>
      </c>
    </row>
    <row r="5" spans="1:10" x14ac:dyDescent="0.3">
      <c r="B5" s="39" t="s">
        <v>217</v>
      </c>
      <c r="C5" s="39" t="s">
        <v>92</v>
      </c>
      <c r="D5" s="39">
        <v>6200</v>
      </c>
    </row>
    <row r="6" spans="1:10" x14ac:dyDescent="0.3">
      <c r="B6" s="39" t="s">
        <v>218</v>
      </c>
      <c r="C6" s="39" t="s">
        <v>94</v>
      </c>
      <c r="D6" s="39">
        <v>31500</v>
      </c>
    </row>
    <row r="7" spans="1:10" x14ac:dyDescent="0.3">
      <c r="B7" s="39" t="s">
        <v>219</v>
      </c>
      <c r="C7" s="39" t="s">
        <v>90</v>
      </c>
      <c r="D7" s="39">
        <v>28500</v>
      </c>
      <c r="F7" s="3" t="s">
        <v>84</v>
      </c>
      <c r="G7" s="3" t="s">
        <v>214</v>
      </c>
    </row>
    <row r="8" spans="1:10" x14ac:dyDescent="0.3">
      <c r="B8" s="39" t="s">
        <v>220</v>
      </c>
      <c r="C8" s="39" t="s">
        <v>92</v>
      </c>
      <c r="D8" s="39">
        <v>9400</v>
      </c>
      <c r="F8" s="4" t="s">
        <v>221</v>
      </c>
      <c r="G8" s="4">
        <f>COUNTIF(C4:C13,F8)</f>
        <v>4</v>
      </c>
    </row>
    <row r="9" spans="1:10" x14ac:dyDescent="0.3">
      <c r="B9" s="39" t="s">
        <v>222</v>
      </c>
      <c r="C9" s="39" t="s">
        <v>94</v>
      </c>
      <c r="D9" s="39">
        <v>7200</v>
      </c>
    </row>
    <row r="10" spans="1:10" x14ac:dyDescent="0.3">
      <c r="B10" s="39" t="s">
        <v>223</v>
      </c>
      <c r="C10" s="39" t="s">
        <v>90</v>
      </c>
      <c r="D10" s="39">
        <v>27500</v>
      </c>
    </row>
    <row r="11" spans="1:10" x14ac:dyDescent="0.3">
      <c r="B11" s="39" t="s">
        <v>224</v>
      </c>
      <c r="C11" s="39" t="s">
        <v>92</v>
      </c>
      <c r="D11" s="39">
        <v>6400</v>
      </c>
    </row>
    <row r="12" spans="1:10" x14ac:dyDescent="0.3">
      <c r="B12" s="39" t="s">
        <v>225</v>
      </c>
      <c r="C12" s="39" t="s">
        <v>94</v>
      </c>
      <c r="D12" s="39">
        <v>5900</v>
      </c>
    </row>
    <row r="13" spans="1:10" x14ac:dyDescent="0.3">
      <c r="B13" s="39" t="s">
        <v>219</v>
      </c>
      <c r="C13" s="39" t="s">
        <v>90</v>
      </c>
      <c r="D13" s="39">
        <v>25500</v>
      </c>
    </row>
    <row r="15" spans="1:10" x14ac:dyDescent="0.3">
      <c r="A15" s="37" t="s">
        <v>2</v>
      </c>
    </row>
    <row r="17" spans="2:9" x14ac:dyDescent="0.3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214</v>
      </c>
      <c r="H17" s="38"/>
      <c r="I17" s="38"/>
    </row>
    <row r="18" spans="2:9" x14ac:dyDescent="0.3">
      <c r="B18" s="39" t="s">
        <v>226</v>
      </c>
      <c r="C18" s="39" t="s">
        <v>90</v>
      </c>
      <c r="D18" s="39">
        <v>34000</v>
      </c>
      <c r="F18" s="4" t="s">
        <v>226</v>
      </c>
      <c r="G18" s="4"/>
    </row>
    <row r="19" spans="2:9" x14ac:dyDescent="0.3">
      <c r="B19" s="39" t="s">
        <v>227</v>
      </c>
      <c r="C19" s="39" t="s">
        <v>92</v>
      </c>
      <c r="D19" s="39">
        <v>5000</v>
      </c>
    </row>
    <row r="20" spans="2:9" x14ac:dyDescent="0.3">
      <c r="B20" s="39" t="s">
        <v>228</v>
      </c>
      <c r="C20" s="39" t="s">
        <v>94</v>
      </c>
      <c r="D20" s="39">
        <v>76000</v>
      </c>
    </row>
    <row r="21" spans="2:9" x14ac:dyDescent="0.3">
      <c r="B21" s="39" t="s">
        <v>229</v>
      </c>
      <c r="C21" s="39" t="s">
        <v>90</v>
      </c>
      <c r="D21" s="39">
        <v>45000</v>
      </c>
    </row>
    <row r="22" spans="2:9" x14ac:dyDescent="0.3">
      <c r="B22" s="39" t="s">
        <v>230</v>
      </c>
      <c r="C22" s="39" t="s">
        <v>92</v>
      </c>
      <c r="D22" s="39">
        <v>8700</v>
      </c>
    </row>
    <row r="23" spans="2:9" x14ac:dyDescent="0.3">
      <c r="B23" s="39" t="s">
        <v>228</v>
      </c>
      <c r="C23" s="39" t="s">
        <v>94</v>
      </c>
      <c r="D23" s="39">
        <v>5600</v>
      </c>
    </row>
    <row r="24" spans="2:9" x14ac:dyDescent="0.3">
      <c r="B24" s="39" t="s">
        <v>231</v>
      </c>
      <c r="C24" s="39" t="s">
        <v>90</v>
      </c>
      <c r="D24" s="39">
        <v>45000</v>
      </c>
    </row>
    <row r="25" spans="2:9" x14ac:dyDescent="0.3">
      <c r="B25" s="39" t="s">
        <v>232</v>
      </c>
      <c r="C25" s="39" t="s">
        <v>92</v>
      </c>
      <c r="D25" s="39">
        <v>5600</v>
      </c>
    </row>
    <row r="26" spans="2:9" x14ac:dyDescent="0.3">
      <c r="B26" s="39" t="s">
        <v>228</v>
      </c>
      <c r="C26" s="39" t="s">
        <v>94</v>
      </c>
      <c r="D26" s="39">
        <v>5600</v>
      </c>
    </row>
    <row r="27" spans="2:9" x14ac:dyDescent="0.3">
      <c r="B27" s="39" t="s">
        <v>233</v>
      </c>
      <c r="C27" s="39" t="s">
        <v>90</v>
      </c>
      <c r="D27" s="39">
        <v>45000</v>
      </c>
    </row>
  </sheetData>
  <hyperlinks>
    <hyperlink ref="A2" location="Home!A1" display="Home" xr:uid="{AF60062C-80BE-42D2-ABAC-6D22152C5899}"/>
    <hyperlink ref="A15" location="Home!A1" display="Home" xr:uid="{DE4CF344-9AAC-44F8-9BC5-44937FC1A6B4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F1C0-55E2-4B3C-9DE5-73D6400A9DC2}">
  <dimension ref="A1:K27"/>
  <sheetViews>
    <sheetView zoomScale="130" zoomScaleNormal="130" workbookViewId="0">
      <pane ySplit="1" topLeftCell="A15" activePane="bottomLeft" state="frozen"/>
      <selection pane="bottomLeft"/>
    </sheetView>
  </sheetViews>
  <sheetFormatPr defaultRowHeight="18.75" x14ac:dyDescent="0.3"/>
  <cols>
    <col min="2" max="2" width="14" customWidth="1"/>
    <col min="6" max="7" width="14" customWidth="1"/>
    <col min="8" max="8" width="12.59765625" customWidth="1"/>
    <col min="9" max="9" width="13.296875" bestFit="1" customWidth="1"/>
  </cols>
  <sheetData>
    <row r="1" spans="1:11" s="2" customFormat="1" ht="32.65" customHeight="1" thickBot="1" x14ac:dyDescent="0.35">
      <c r="A1" s="36">
        <v>24</v>
      </c>
      <c r="B1" s="1" t="s">
        <v>234</v>
      </c>
    </row>
    <row r="2" spans="1:11" x14ac:dyDescent="0.3">
      <c r="A2" s="37" t="s">
        <v>2</v>
      </c>
    </row>
    <row r="3" spans="1:11" x14ac:dyDescent="0.3">
      <c r="B3" s="40" t="s">
        <v>83</v>
      </c>
      <c r="C3" s="40" t="s">
        <v>84</v>
      </c>
      <c r="D3" s="40" t="s">
        <v>96</v>
      </c>
      <c r="F3" s="3" t="s">
        <v>83</v>
      </c>
      <c r="G3" s="3" t="s">
        <v>84</v>
      </c>
      <c r="H3" s="3" t="s">
        <v>214</v>
      </c>
      <c r="I3" s="38"/>
      <c r="J3" s="38"/>
      <c r="K3" s="38"/>
    </row>
    <row r="4" spans="1:11" x14ac:dyDescent="0.3">
      <c r="B4" s="39" t="s">
        <v>235</v>
      </c>
      <c r="C4" s="39" t="s">
        <v>90</v>
      </c>
      <c r="D4" s="39">
        <v>19500</v>
      </c>
      <c r="F4" s="4" t="s">
        <v>236</v>
      </c>
      <c r="G4" s="4" t="s">
        <v>221</v>
      </c>
      <c r="H4" s="4">
        <f>COUNTIFS(B4:B13,F4,C4:C13,G4)</f>
        <v>4</v>
      </c>
    </row>
    <row r="5" spans="1:11" x14ac:dyDescent="0.3">
      <c r="B5" s="39" t="s">
        <v>237</v>
      </c>
      <c r="C5" s="39" t="s">
        <v>92</v>
      </c>
      <c r="D5" s="39">
        <v>6200</v>
      </c>
    </row>
    <row r="6" spans="1:11" x14ac:dyDescent="0.3">
      <c r="B6" s="39" t="s">
        <v>238</v>
      </c>
      <c r="C6" s="39" t="s">
        <v>94</v>
      </c>
      <c r="D6" s="39">
        <v>31500</v>
      </c>
    </row>
    <row r="7" spans="1:11" x14ac:dyDescent="0.3">
      <c r="B7" s="39" t="s">
        <v>235</v>
      </c>
      <c r="C7" s="39" t="s">
        <v>90</v>
      </c>
      <c r="D7" s="39">
        <v>28500</v>
      </c>
    </row>
    <row r="8" spans="1:11" x14ac:dyDescent="0.3">
      <c r="B8" s="39" t="s">
        <v>237</v>
      </c>
      <c r="C8" s="39" t="s">
        <v>92</v>
      </c>
      <c r="D8" s="39">
        <v>9400</v>
      </c>
    </row>
    <row r="9" spans="1:11" x14ac:dyDescent="0.3">
      <c r="B9" s="39" t="s">
        <v>238</v>
      </c>
      <c r="C9" s="39" t="s">
        <v>94</v>
      </c>
      <c r="D9" s="39">
        <v>7200</v>
      </c>
    </row>
    <row r="10" spans="1:11" x14ac:dyDescent="0.3">
      <c r="B10" s="39" t="s">
        <v>235</v>
      </c>
      <c r="C10" s="39" t="s">
        <v>90</v>
      </c>
      <c r="D10" s="39">
        <v>27500</v>
      </c>
    </row>
    <row r="11" spans="1:11" x14ac:dyDescent="0.3">
      <c r="B11" s="39" t="s">
        <v>237</v>
      </c>
      <c r="C11" s="39" t="s">
        <v>92</v>
      </c>
      <c r="D11" s="39">
        <v>6400</v>
      </c>
    </row>
    <row r="12" spans="1:11" x14ac:dyDescent="0.3">
      <c r="B12" s="39" t="s">
        <v>239</v>
      </c>
      <c r="C12" s="39" t="s">
        <v>94</v>
      </c>
      <c r="D12" s="39">
        <v>5900</v>
      </c>
    </row>
    <row r="13" spans="1:11" x14ac:dyDescent="0.3">
      <c r="B13" s="39" t="s">
        <v>235</v>
      </c>
      <c r="C13" s="39" t="s">
        <v>90</v>
      </c>
      <c r="D13" s="39">
        <v>25500</v>
      </c>
    </row>
    <row r="17" spans="2:9" x14ac:dyDescent="0.3">
      <c r="B17" s="40" t="s">
        <v>83</v>
      </c>
      <c r="C17" s="40" t="s">
        <v>84</v>
      </c>
      <c r="D17" s="40" t="s">
        <v>96</v>
      </c>
      <c r="F17" s="3" t="s">
        <v>83</v>
      </c>
      <c r="G17" s="3" t="s">
        <v>84</v>
      </c>
      <c r="H17" s="3" t="s">
        <v>214</v>
      </c>
      <c r="I17" s="38"/>
    </row>
    <row r="18" spans="2:9" x14ac:dyDescent="0.3">
      <c r="B18" s="39" t="s">
        <v>240</v>
      </c>
      <c r="C18" s="39" t="s">
        <v>90</v>
      </c>
      <c r="D18" s="39">
        <v>34000</v>
      </c>
      <c r="F18" s="39" t="s">
        <v>156</v>
      </c>
      <c r="G18" s="4"/>
      <c r="H18" s="4"/>
    </row>
    <row r="19" spans="2:9" x14ac:dyDescent="0.3">
      <c r="B19" s="39" t="s">
        <v>237</v>
      </c>
      <c r="C19" s="39" t="s">
        <v>92</v>
      </c>
      <c r="D19" s="39">
        <v>5000</v>
      </c>
    </row>
    <row r="20" spans="2:9" x14ac:dyDescent="0.3">
      <c r="B20" s="39" t="s">
        <v>155</v>
      </c>
      <c r="C20" s="39" t="s">
        <v>94</v>
      </c>
      <c r="D20" s="39">
        <v>76000</v>
      </c>
    </row>
    <row r="21" spans="2:9" x14ac:dyDescent="0.3">
      <c r="B21" s="39" t="s">
        <v>156</v>
      </c>
      <c r="C21" s="39" t="s">
        <v>90</v>
      </c>
      <c r="D21" s="39">
        <v>45000</v>
      </c>
    </row>
    <row r="22" spans="2:9" x14ac:dyDescent="0.3">
      <c r="B22" s="39" t="s">
        <v>239</v>
      </c>
      <c r="C22" s="39" t="s">
        <v>92</v>
      </c>
      <c r="D22" s="39">
        <v>8700</v>
      </c>
    </row>
    <row r="23" spans="2:9" x14ac:dyDescent="0.3">
      <c r="B23" s="39" t="s">
        <v>155</v>
      </c>
      <c r="C23" s="39" t="s">
        <v>94</v>
      </c>
      <c r="D23" s="39">
        <v>5600</v>
      </c>
    </row>
    <row r="24" spans="2:9" x14ac:dyDescent="0.3">
      <c r="B24" s="39" t="s">
        <v>156</v>
      </c>
      <c r="C24" s="39" t="s">
        <v>90</v>
      </c>
      <c r="D24" s="39">
        <v>45000</v>
      </c>
    </row>
    <row r="25" spans="2:9" x14ac:dyDescent="0.3">
      <c r="B25" s="39" t="s">
        <v>241</v>
      </c>
      <c r="C25" s="39" t="s">
        <v>92</v>
      </c>
      <c r="D25" s="39">
        <v>5600</v>
      </c>
    </row>
    <row r="26" spans="2:9" x14ac:dyDescent="0.3">
      <c r="B26" s="39" t="s">
        <v>242</v>
      </c>
      <c r="C26" s="39" t="s">
        <v>94</v>
      </c>
      <c r="D26" s="39">
        <v>5600</v>
      </c>
    </row>
    <row r="27" spans="2:9" x14ac:dyDescent="0.3">
      <c r="B27" s="39" t="s">
        <v>240</v>
      </c>
      <c r="C27" s="39" t="s">
        <v>90</v>
      </c>
      <c r="D27" s="39">
        <v>45000</v>
      </c>
    </row>
  </sheetData>
  <hyperlinks>
    <hyperlink ref="A2" location="Home!A1" display="Home" xr:uid="{923E875A-F7DA-4B77-8764-E1FBEB24C382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95A9-833F-4B85-93B1-43AB3DE3483B}">
  <sheetPr filterMode="1"/>
  <dimension ref="A1:I15"/>
  <sheetViews>
    <sheetView zoomScale="130" zoomScaleNormal="130" workbookViewId="0">
      <pane ySplit="1" topLeftCell="A2" activePane="bottomLeft" state="frozen"/>
      <selection pane="bottomLeft" activeCell="F3" sqref="F3"/>
    </sheetView>
  </sheetViews>
  <sheetFormatPr defaultRowHeight="18.75" x14ac:dyDescent="0.3"/>
  <cols>
    <col min="2" max="2" width="14" customWidth="1"/>
    <col min="4" max="5" width="10.296875" customWidth="1"/>
    <col min="8" max="8" width="10.59765625" customWidth="1"/>
    <col min="9" max="9" width="9" customWidth="1"/>
    <col min="10" max="10" width="12.59765625" customWidth="1"/>
  </cols>
  <sheetData>
    <row r="1" spans="1:9" s="2" customFormat="1" ht="32.65" customHeight="1" thickBot="1" x14ac:dyDescent="0.35">
      <c r="A1" s="36">
        <v>25</v>
      </c>
      <c r="B1" s="1" t="s">
        <v>243</v>
      </c>
    </row>
    <row r="2" spans="1:9" x14ac:dyDescent="0.3">
      <c r="A2" s="37" t="s">
        <v>2</v>
      </c>
    </row>
    <row r="3" spans="1:9" x14ac:dyDescent="0.3">
      <c r="B3" s="137" t="s">
        <v>244</v>
      </c>
      <c r="C3" s="22">
        <f>SUBTOTAL(109,D6:D14)</f>
        <v>10</v>
      </c>
      <c r="E3" s="3" t="s">
        <v>245</v>
      </c>
      <c r="F3" s="22"/>
      <c r="H3" s="3" t="s">
        <v>246</v>
      </c>
      <c r="I3" s="22">
        <f>SUBTOTAL(2,F6:F14)</f>
        <v>2</v>
      </c>
    </row>
    <row r="5" spans="1:9" x14ac:dyDescent="0.3">
      <c r="B5" s="53" t="s">
        <v>83</v>
      </c>
      <c r="C5" s="3" t="s">
        <v>84</v>
      </c>
      <c r="D5" s="3" t="s">
        <v>127</v>
      </c>
      <c r="E5" s="3" t="s">
        <v>128</v>
      </c>
      <c r="F5" s="3" t="s">
        <v>96</v>
      </c>
    </row>
    <row r="6" spans="1:9" hidden="1" x14ac:dyDescent="0.3">
      <c r="B6" s="39" t="s">
        <v>89</v>
      </c>
      <c r="C6" s="43" t="s">
        <v>90</v>
      </c>
      <c r="D6" s="4">
        <v>3</v>
      </c>
      <c r="E6" s="4">
        <v>200</v>
      </c>
      <c r="F6" s="4">
        <f>D6*E6</f>
        <v>600</v>
      </c>
    </row>
    <row r="7" spans="1:9" hidden="1" x14ac:dyDescent="0.3">
      <c r="B7" s="39" t="s">
        <v>91</v>
      </c>
      <c r="C7" s="43" t="s">
        <v>92</v>
      </c>
      <c r="D7" s="4">
        <v>4</v>
      </c>
      <c r="E7" s="4">
        <v>110</v>
      </c>
      <c r="F7" s="4">
        <f t="shared" ref="F7:F14" si="0">D7*E7</f>
        <v>440</v>
      </c>
    </row>
    <row r="8" spans="1:9" x14ac:dyDescent="0.3">
      <c r="B8" s="51" t="s">
        <v>93</v>
      </c>
      <c r="C8" s="43" t="s">
        <v>94</v>
      </c>
      <c r="D8" s="4">
        <v>5</v>
      </c>
      <c r="E8" s="4">
        <v>280</v>
      </c>
      <c r="F8" s="4">
        <f t="shared" si="0"/>
        <v>1400</v>
      </c>
    </row>
    <row r="9" spans="1:9" hidden="1" x14ac:dyDescent="0.3">
      <c r="B9" s="39" t="s">
        <v>89</v>
      </c>
      <c r="C9" s="43" t="s">
        <v>90</v>
      </c>
      <c r="D9" s="4">
        <v>6</v>
      </c>
      <c r="E9" s="4">
        <v>130</v>
      </c>
      <c r="F9" s="4">
        <f t="shared" si="0"/>
        <v>780</v>
      </c>
    </row>
    <row r="10" spans="1:9" hidden="1" x14ac:dyDescent="0.3">
      <c r="B10" s="39" t="s">
        <v>91</v>
      </c>
      <c r="C10" s="43" t="s">
        <v>92</v>
      </c>
      <c r="D10" s="4">
        <v>7</v>
      </c>
      <c r="E10" s="4">
        <v>145</v>
      </c>
      <c r="F10" s="4">
        <f t="shared" si="0"/>
        <v>1015</v>
      </c>
    </row>
    <row r="11" spans="1:9" x14ac:dyDescent="0.3">
      <c r="B11" s="51" t="s">
        <v>93</v>
      </c>
      <c r="C11" s="43" t="s">
        <v>94</v>
      </c>
      <c r="D11" s="4">
        <v>5</v>
      </c>
      <c r="E11" s="4">
        <v>150</v>
      </c>
      <c r="F11" s="4">
        <f t="shared" si="0"/>
        <v>750</v>
      </c>
    </row>
    <row r="12" spans="1:9" hidden="1" x14ac:dyDescent="0.3">
      <c r="B12" s="39" t="s">
        <v>89</v>
      </c>
      <c r="C12" s="43" t="s">
        <v>90</v>
      </c>
      <c r="D12" s="4">
        <v>4</v>
      </c>
      <c r="E12" s="4">
        <v>170</v>
      </c>
      <c r="F12" s="4">
        <f t="shared" si="0"/>
        <v>680</v>
      </c>
    </row>
    <row r="13" spans="1:9" hidden="1" x14ac:dyDescent="0.3">
      <c r="B13" s="39" t="s">
        <v>91</v>
      </c>
      <c r="C13" s="43" t="s">
        <v>92</v>
      </c>
      <c r="D13" s="4">
        <v>3</v>
      </c>
      <c r="E13" s="4">
        <v>180</v>
      </c>
      <c r="F13" s="4">
        <f t="shared" si="0"/>
        <v>540</v>
      </c>
    </row>
    <row r="14" spans="1:9" hidden="1" x14ac:dyDescent="0.3">
      <c r="B14" s="39" t="s">
        <v>113</v>
      </c>
      <c r="C14" s="43" t="s">
        <v>94</v>
      </c>
      <c r="D14" s="4">
        <v>4</v>
      </c>
      <c r="E14" s="4">
        <v>110</v>
      </c>
      <c r="F14" s="4">
        <f t="shared" si="0"/>
        <v>440</v>
      </c>
    </row>
    <row r="15" spans="1:9" hidden="1" x14ac:dyDescent="0.3"/>
  </sheetData>
  <autoFilter ref="B5:F15" xr:uid="{BAC4DE15-CC8C-45E1-BAF6-6228EFEBC88C}">
    <filterColumn colId="1">
      <filters>
        <filter val="North"/>
      </filters>
    </filterColumn>
  </autoFilter>
  <hyperlinks>
    <hyperlink ref="A2" location="Home!A1" display="Home" xr:uid="{87E0BA37-69B6-4C93-96C8-F37337C4498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A884-4506-460F-9EA9-CBA3E3CE7784}">
  <dimension ref="A1:G25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4" width="12.19921875" customWidth="1"/>
    <col min="5" max="5" width="12.79687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35">
      <c r="A1" s="36">
        <v>26</v>
      </c>
      <c r="B1" s="1" t="s">
        <v>247</v>
      </c>
    </row>
    <row r="2" spans="1:7" x14ac:dyDescent="0.3">
      <c r="A2" s="37" t="s">
        <v>2</v>
      </c>
    </row>
    <row r="3" spans="1:7" x14ac:dyDescent="0.3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3">
      <c r="B4" s="52" t="s">
        <v>205</v>
      </c>
      <c r="C4" s="4">
        <v>76</v>
      </c>
      <c r="D4" s="4">
        <v>95</v>
      </c>
      <c r="E4" s="4">
        <v>61</v>
      </c>
      <c r="F4" s="4">
        <f t="shared" ref="F4:F11" si="0">SUM(C4:E4)</f>
        <v>232</v>
      </c>
      <c r="G4" s="23">
        <f>F4/300</f>
        <v>0.77333333333333332</v>
      </c>
    </row>
    <row r="5" spans="1:7" x14ac:dyDescent="0.3">
      <c r="B5" s="52" t="s">
        <v>201</v>
      </c>
      <c r="C5" s="4">
        <v>86</v>
      </c>
      <c r="D5" s="4">
        <v>64</v>
      </c>
      <c r="E5" s="4">
        <v>38</v>
      </c>
      <c r="F5" s="4">
        <f t="shared" si="0"/>
        <v>188</v>
      </c>
      <c r="G5" s="23">
        <f t="shared" ref="G5:G11" si="1">F5/300</f>
        <v>0.62666666666666671</v>
      </c>
    </row>
    <row r="6" spans="1:7" x14ac:dyDescent="0.3">
      <c r="B6" s="52" t="s">
        <v>204</v>
      </c>
      <c r="C6" s="4">
        <v>65</v>
      </c>
      <c r="D6" s="4">
        <v>63</v>
      </c>
      <c r="E6" s="4">
        <v>29</v>
      </c>
      <c r="F6" s="4">
        <f t="shared" si="0"/>
        <v>157</v>
      </c>
      <c r="G6" s="23">
        <f t="shared" si="1"/>
        <v>0.52333333333333332</v>
      </c>
    </row>
    <row r="7" spans="1:7" x14ac:dyDescent="0.3">
      <c r="B7" s="52" t="s">
        <v>198</v>
      </c>
      <c r="C7" s="4">
        <v>30</v>
      </c>
      <c r="D7" s="4">
        <v>52</v>
      </c>
      <c r="E7" s="4">
        <v>68</v>
      </c>
      <c r="F7" s="4">
        <f t="shared" si="0"/>
        <v>150</v>
      </c>
      <c r="G7" s="23">
        <f t="shared" si="1"/>
        <v>0.5</v>
      </c>
    </row>
    <row r="8" spans="1:7" x14ac:dyDescent="0.3">
      <c r="B8" s="52" t="s">
        <v>200</v>
      </c>
      <c r="C8" s="4">
        <v>62</v>
      </c>
      <c r="D8" s="4">
        <v>42</v>
      </c>
      <c r="E8" s="4">
        <v>44</v>
      </c>
      <c r="F8" s="4">
        <f t="shared" si="0"/>
        <v>148</v>
      </c>
      <c r="G8" s="23">
        <f t="shared" si="1"/>
        <v>0.49333333333333335</v>
      </c>
    </row>
    <row r="9" spans="1:7" x14ac:dyDescent="0.3">
      <c r="B9" s="52" t="s">
        <v>202</v>
      </c>
      <c r="C9" s="4">
        <v>89</v>
      </c>
      <c r="D9" s="4">
        <v>99</v>
      </c>
      <c r="E9" s="4">
        <v>66</v>
      </c>
      <c r="F9" s="4">
        <f t="shared" si="0"/>
        <v>254</v>
      </c>
      <c r="G9" s="23">
        <f t="shared" si="1"/>
        <v>0.84666666666666668</v>
      </c>
    </row>
    <row r="10" spans="1:7" x14ac:dyDescent="0.3">
      <c r="B10" s="52" t="s">
        <v>203</v>
      </c>
      <c r="C10" s="4">
        <v>86</v>
      </c>
      <c r="D10" s="4">
        <v>50</v>
      </c>
      <c r="E10" s="4">
        <v>76</v>
      </c>
      <c r="F10" s="4">
        <f t="shared" si="0"/>
        <v>212</v>
      </c>
      <c r="G10" s="23">
        <f t="shared" si="1"/>
        <v>0.70666666666666667</v>
      </c>
    </row>
    <row r="11" spans="1:7" x14ac:dyDescent="0.3">
      <c r="B11" s="52" t="s">
        <v>199</v>
      </c>
      <c r="C11" s="4">
        <v>91</v>
      </c>
      <c r="D11" s="4">
        <v>75</v>
      </c>
      <c r="E11" s="4">
        <v>90</v>
      </c>
      <c r="F11" s="4">
        <f t="shared" si="0"/>
        <v>256</v>
      </c>
      <c r="G11" s="23">
        <f t="shared" si="1"/>
        <v>0.85333333333333339</v>
      </c>
    </row>
    <row r="13" spans="1:7" x14ac:dyDescent="0.3">
      <c r="B13" s="3" t="s">
        <v>249</v>
      </c>
      <c r="C13" s="3" t="s">
        <v>250</v>
      </c>
      <c r="D13" s="3" t="s">
        <v>248</v>
      </c>
    </row>
    <row r="14" spans="1:7" x14ac:dyDescent="0.3">
      <c r="B14" s="4">
        <v>200</v>
      </c>
      <c r="C14" s="4">
        <v>140</v>
      </c>
      <c r="D14" s="23">
        <f>C14/B14</f>
        <v>0.7</v>
      </c>
    </row>
    <row r="17" spans="2:7" x14ac:dyDescent="0.3">
      <c r="B17" s="40" t="s">
        <v>251</v>
      </c>
      <c r="C17" s="40" t="s">
        <v>252</v>
      </c>
      <c r="D17" s="55" t="s">
        <v>253</v>
      </c>
      <c r="E17" s="54" t="s">
        <v>254</v>
      </c>
      <c r="F17" s="49"/>
      <c r="G17" s="38"/>
    </row>
    <row r="18" spans="2:7" x14ac:dyDescent="0.3">
      <c r="B18" s="51" t="s">
        <v>255</v>
      </c>
      <c r="C18" s="39">
        <v>14500</v>
      </c>
      <c r="D18" s="39">
        <f t="shared" ref="D18:D25" si="2">C18*5%</f>
        <v>725</v>
      </c>
      <c r="E18" s="56">
        <f t="shared" ref="E18:E25" si="3">C18+C18*10%</f>
        <v>15950</v>
      </c>
      <c r="F18" s="50"/>
    </row>
    <row r="19" spans="2:7" x14ac:dyDescent="0.3">
      <c r="B19" s="51" t="s">
        <v>256</v>
      </c>
      <c r="C19" s="39">
        <v>11500</v>
      </c>
      <c r="D19" s="39">
        <f t="shared" si="2"/>
        <v>575</v>
      </c>
      <c r="E19" s="39">
        <f t="shared" si="3"/>
        <v>12650</v>
      </c>
      <c r="F19" s="50"/>
    </row>
    <row r="20" spans="2:7" x14ac:dyDescent="0.3">
      <c r="B20" s="51" t="s">
        <v>257</v>
      </c>
      <c r="C20" s="39">
        <v>15800</v>
      </c>
      <c r="D20" s="39">
        <f t="shared" si="2"/>
        <v>790</v>
      </c>
      <c r="E20" s="39">
        <f t="shared" si="3"/>
        <v>17380</v>
      </c>
      <c r="F20" s="50"/>
    </row>
    <row r="21" spans="2:7" x14ac:dyDescent="0.3">
      <c r="B21" s="51" t="s">
        <v>258</v>
      </c>
      <c r="C21" s="39">
        <v>23000</v>
      </c>
      <c r="D21" s="39">
        <f t="shared" si="2"/>
        <v>1150</v>
      </c>
      <c r="E21" s="39">
        <f t="shared" si="3"/>
        <v>25300</v>
      </c>
      <c r="F21" s="50"/>
    </row>
    <row r="22" spans="2:7" x14ac:dyDescent="0.3">
      <c r="B22" s="51" t="s">
        <v>259</v>
      </c>
      <c r="C22" s="39">
        <v>13500</v>
      </c>
      <c r="D22" s="39">
        <f t="shared" si="2"/>
        <v>675</v>
      </c>
      <c r="E22" s="39">
        <f t="shared" si="3"/>
        <v>14850</v>
      </c>
      <c r="F22" s="50"/>
    </row>
    <row r="23" spans="2:7" x14ac:dyDescent="0.3">
      <c r="B23" s="51" t="s">
        <v>260</v>
      </c>
      <c r="C23" s="39">
        <v>12000</v>
      </c>
      <c r="D23" s="39">
        <f t="shared" si="2"/>
        <v>600</v>
      </c>
      <c r="E23" s="39">
        <f t="shared" si="3"/>
        <v>13200</v>
      </c>
      <c r="F23" s="50"/>
    </row>
    <row r="24" spans="2:7" x14ac:dyDescent="0.3">
      <c r="B24" s="51" t="s">
        <v>261</v>
      </c>
      <c r="C24" s="39">
        <v>98000</v>
      </c>
      <c r="D24" s="39">
        <f t="shared" si="2"/>
        <v>4900</v>
      </c>
      <c r="E24" s="39">
        <f t="shared" si="3"/>
        <v>107800</v>
      </c>
      <c r="F24" s="50"/>
    </row>
    <row r="25" spans="2:7" x14ac:dyDescent="0.3">
      <c r="B25" s="51" t="s">
        <v>262</v>
      </c>
      <c r="C25" s="39">
        <v>21000</v>
      </c>
      <c r="D25" s="39">
        <f t="shared" si="2"/>
        <v>1050</v>
      </c>
      <c r="E25" s="39">
        <f t="shared" si="3"/>
        <v>23100</v>
      </c>
      <c r="F25" s="50"/>
    </row>
  </sheetData>
  <autoFilter ref="B3:B9" xr:uid="{B94CD556-37CF-4952-93A7-C5D2DBBF9D87}"/>
  <hyperlinks>
    <hyperlink ref="A2" location="Home!A1" display="Home" xr:uid="{5FDE638B-C37E-4089-B4E4-FBCEE5D1296B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00E9-3237-40D7-8B67-8F950BA9FB3F}">
  <dimension ref="A1:G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9.5" customWidth="1"/>
    <col min="3" max="3" width="9.5" customWidth="1"/>
    <col min="6" max="6" width="18.296875" bestFit="1" customWidth="1"/>
  </cols>
  <sheetData>
    <row r="1" spans="1:7" s="2" customFormat="1" ht="32.65" customHeight="1" thickBot="1" x14ac:dyDescent="0.35">
      <c r="A1" s="36">
        <v>27</v>
      </c>
      <c r="B1" s="1" t="s">
        <v>263</v>
      </c>
    </row>
    <row r="2" spans="1:7" x14ac:dyDescent="0.3">
      <c r="A2" s="37" t="s">
        <v>2</v>
      </c>
    </row>
    <row r="3" spans="1:7" x14ac:dyDescent="0.3">
      <c r="B3" s="3" t="s">
        <v>83</v>
      </c>
      <c r="C3" s="3" t="s">
        <v>127</v>
      </c>
      <c r="F3" s="38"/>
      <c r="G3" s="38"/>
    </row>
    <row r="4" spans="1:7" x14ac:dyDescent="0.3">
      <c r="B4" t="s">
        <v>264</v>
      </c>
      <c r="C4">
        <v>125</v>
      </c>
      <c r="D4" s="24" t="e" vm="1">
        <f ca="1">_xlfn.PERCENTOF(C4,$C$4:$C$12)</f>
        <v>#NAME?</v>
      </c>
    </row>
    <row r="5" spans="1:7" x14ac:dyDescent="0.3">
      <c r="B5" t="s">
        <v>265</v>
      </c>
      <c r="C5">
        <v>200</v>
      </c>
      <c r="D5" s="24" t="e" vm="1">
        <f t="shared" ref="D5:D12" ca="1" si="0">_xlfn.PERCENTOF(C5,$C$4:$C$12)</f>
        <v>#NAME?</v>
      </c>
    </row>
    <row r="6" spans="1:7" x14ac:dyDescent="0.3">
      <c r="B6" t="s">
        <v>266</v>
      </c>
      <c r="C6">
        <v>60</v>
      </c>
      <c r="D6" s="24" t="e" vm="1">
        <f t="shared" ca="1" si="0"/>
        <v>#NAME?</v>
      </c>
    </row>
    <row r="7" spans="1:7" x14ac:dyDescent="0.3">
      <c r="B7" t="s">
        <v>267</v>
      </c>
      <c r="C7">
        <v>40</v>
      </c>
      <c r="D7" s="24" t="e" vm="1">
        <f t="shared" ca="1" si="0"/>
        <v>#NAME?</v>
      </c>
    </row>
    <row r="8" spans="1:7" x14ac:dyDescent="0.3">
      <c r="B8" t="s">
        <v>268</v>
      </c>
      <c r="C8">
        <v>25</v>
      </c>
      <c r="D8" s="24" t="e" vm="1">
        <f t="shared" ca="1" si="0"/>
        <v>#NAME?</v>
      </c>
    </row>
    <row r="9" spans="1:7" x14ac:dyDescent="0.3">
      <c r="B9" t="s">
        <v>269</v>
      </c>
      <c r="C9">
        <v>35</v>
      </c>
      <c r="D9" s="24" t="e" vm="1">
        <f t="shared" ca="1" si="0"/>
        <v>#NAME?</v>
      </c>
    </row>
    <row r="10" spans="1:7" x14ac:dyDescent="0.3">
      <c r="B10" t="s">
        <v>270</v>
      </c>
      <c r="C10">
        <v>350</v>
      </c>
      <c r="D10" s="24" t="e" vm="1">
        <f t="shared" ca="1" si="0"/>
        <v>#NAME?</v>
      </c>
    </row>
    <row r="11" spans="1:7" x14ac:dyDescent="0.3">
      <c r="B11" t="s">
        <v>271</v>
      </c>
      <c r="C11">
        <v>70</v>
      </c>
      <c r="D11" s="24" t="e" vm="1">
        <f t="shared" ca="1" si="0"/>
        <v>#NAME?</v>
      </c>
    </row>
    <row r="12" spans="1:7" x14ac:dyDescent="0.3">
      <c r="B12" t="s">
        <v>272</v>
      </c>
      <c r="C12">
        <v>90</v>
      </c>
      <c r="D12" s="24" t="e" vm="1">
        <f t="shared" ca="1" si="0"/>
        <v>#NAME?</v>
      </c>
    </row>
    <row r="13" spans="1:7" x14ac:dyDescent="0.3">
      <c r="D13" s="25" t="e" vm="2">
        <f ca="1">SUM(D4:D12)</f>
        <v>#NAME?</v>
      </c>
    </row>
  </sheetData>
  <hyperlinks>
    <hyperlink ref="A2" location="Home!A1" display="Home" xr:uid="{C4A8C9C5-4845-4DDE-A31C-5211C758F54F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3965D-93A0-476A-9D2B-35D420D32CB5}">
  <dimension ref="A1:E12"/>
  <sheetViews>
    <sheetView zoomScale="130" zoomScaleNormal="130" workbookViewId="0">
      <pane ySplit="1" topLeftCell="A2" activePane="bottomLeft" state="frozen"/>
      <selection pane="bottomLeft" activeCell="H16" sqref="H16"/>
    </sheetView>
  </sheetViews>
  <sheetFormatPr defaultRowHeight="18.75" x14ac:dyDescent="0.3"/>
  <cols>
    <col min="2" max="2" width="14" customWidth="1"/>
    <col min="3" max="3" width="9.5" customWidth="1"/>
    <col min="5" max="5" width="16.296875" bestFit="1" customWidth="1"/>
  </cols>
  <sheetData>
    <row r="1" spans="1:5" s="2" customFormat="1" ht="32.65" customHeight="1" thickBot="1" x14ac:dyDescent="0.35">
      <c r="A1" s="36">
        <v>28</v>
      </c>
      <c r="B1" s="1" t="s">
        <v>273</v>
      </c>
    </row>
    <row r="2" spans="1:5" x14ac:dyDescent="0.3">
      <c r="A2" s="37" t="s">
        <v>2</v>
      </c>
    </row>
    <row r="3" spans="1:5" x14ac:dyDescent="0.3">
      <c r="B3" s="40" t="s">
        <v>83</v>
      </c>
      <c r="C3" s="40" t="s">
        <v>209</v>
      </c>
      <c r="E3" s="38"/>
    </row>
    <row r="4" spans="1:5" x14ac:dyDescent="0.3">
      <c r="B4" s="39" t="s">
        <v>274</v>
      </c>
      <c r="C4" s="39">
        <f ca="1">RAND()</f>
        <v>0.33828208968259066</v>
      </c>
    </row>
    <row r="5" spans="1:5" x14ac:dyDescent="0.3">
      <c r="B5" s="39" t="s">
        <v>215</v>
      </c>
      <c r="C5" s="39">
        <f t="shared" ref="C5:C12" ca="1" si="0">RAND()</f>
        <v>4.4186289608735496E-2</v>
      </c>
    </row>
    <row r="6" spans="1:5" x14ac:dyDescent="0.3">
      <c r="B6" s="39" t="s">
        <v>275</v>
      </c>
      <c r="C6" s="39">
        <f t="shared" ca="1" si="0"/>
        <v>0.43617721057435643</v>
      </c>
    </row>
    <row r="7" spans="1:5" x14ac:dyDescent="0.3">
      <c r="B7" s="39" t="s">
        <v>276</v>
      </c>
      <c r="C7" s="39">
        <f t="shared" ca="1" si="0"/>
        <v>0.51608076034181871</v>
      </c>
    </row>
    <row r="8" spans="1:5" x14ac:dyDescent="0.3">
      <c r="B8" s="39" t="s">
        <v>277</v>
      </c>
      <c r="C8" s="39">
        <f t="shared" ca="1" si="0"/>
        <v>0.23947230346974024</v>
      </c>
    </row>
    <row r="9" spans="1:5" x14ac:dyDescent="0.3">
      <c r="B9" s="39" t="s">
        <v>278</v>
      </c>
      <c r="C9" s="39">
        <f t="shared" ca="1" si="0"/>
        <v>0.96336857960527111</v>
      </c>
    </row>
    <row r="10" spans="1:5" x14ac:dyDescent="0.3">
      <c r="B10" s="39" t="s">
        <v>222</v>
      </c>
      <c r="C10" s="39">
        <f t="shared" ca="1" si="0"/>
        <v>0.99239615110762114</v>
      </c>
    </row>
    <row r="11" spans="1:5" x14ac:dyDescent="0.3">
      <c r="B11" s="39" t="s">
        <v>224</v>
      </c>
      <c r="C11" s="39">
        <f t="shared" ca="1" si="0"/>
        <v>0.18966313130333223</v>
      </c>
    </row>
    <row r="12" spans="1:5" x14ac:dyDescent="0.3">
      <c r="B12" s="39" t="s">
        <v>279</v>
      </c>
      <c r="C12" s="39">
        <f t="shared" ca="1" si="0"/>
        <v>0.8725188900171994</v>
      </c>
    </row>
  </sheetData>
  <hyperlinks>
    <hyperlink ref="A2" location="Home!A1" display="Home" xr:uid="{5490D479-76CB-4B17-8E1A-C9B1637D045F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6E6F-484D-4EF6-B834-B27C856E5B22}">
  <dimension ref="A1:G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5" width="8.1992187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35">
      <c r="A1" s="36">
        <v>29</v>
      </c>
      <c r="B1" s="1" t="s">
        <v>280</v>
      </c>
    </row>
    <row r="2" spans="1:7" x14ac:dyDescent="0.3">
      <c r="A2" s="37" t="s">
        <v>2</v>
      </c>
    </row>
    <row r="3" spans="1:7" x14ac:dyDescent="0.3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3">
      <c r="B4" s="52" t="s">
        <v>205</v>
      </c>
      <c r="C4" s="4">
        <v>15</v>
      </c>
      <c r="D4" s="4">
        <v>5</v>
      </c>
      <c r="E4" s="4">
        <v>89</v>
      </c>
      <c r="F4" s="4"/>
      <c r="G4" s="26"/>
    </row>
    <row r="5" spans="1:7" x14ac:dyDescent="0.3">
      <c r="B5" s="52" t="s">
        <v>201</v>
      </c>
      <c r="C5" s="4">
        <v>16</v>
      </c>
      <c r="D5" s="4">
        <v>36</v>
      </c>
      <c r="E5" s="4">
        <v>13</v>
      </c>
      <c r="F5" s="4"/>
      <c r="G5" s="26"/>
    </row>
    <row r="6" spans="1:7" x14ac:dyDescent="0.3">
      <c r="B6" s="52" t="s">
        <v>204</v>
      </c>
      <c r="C6" s="4">
        <v>50</v>
      </c>
      <c r="D6" s="4">
        <v>53</v>
      </c>
      <c r="E6" s="4">
        <v>76</v>
      </c>
      <c r="F6" s="4"/>
      <c r="G6" s="26"/>
    </row>
    <row r="7" spans="1:7" x14ac:dyDescent="0.3">
      <c r="B7" s="52" t="s">
        <v>198</v>
      </c>
      <c r="C7" s="4">
        <v>20</v>
      </c>
      <c r="D7" s="4">
        <v>54</v>
      </c>
      <c r="E7" s="4">
        <v>19</v>
      </c>
      <c r="F7" s="4"/>
      <c r="G7" s="26"/>
    </row>
    <row r="8" spans="1:7" x14ac:dyDescent="0.3">
      <c r="B8" s="52" t="s">
        <v>200</v>
      </c>
      <c r="C8" s="4">
        <v>19</v>
      </c>
      <c r="D8" s="4">
        <v>54</v>
      </c>
      <c r="E8" s="4">
        <v>67</v>
      </c>
      <c r="F8" s="4"/>
      <c r="G8" s="26"/>
    </row>
    <row r="9" spans="1:7" x14ac:dyDescent="0.3">
      <c r="B9" s="52" t="s">
        <v>202</v>
      </c>
      <c r="C9" s="4">
        <v>81</v>
      </c>
      <c r="D9" s="4">
        <v>20</v>
      </c>
      <c r="E9" s="4">
        <v>28</v>
      </c>
      <c r="F9" s="4"/>
      <c r="G9" s="26"/>
    </row>
    <row r="10" spans="1:7" x14ac:dyDescent="0.3">
      <c r="B10" s="52" t="s">
        <v>203</v>
      </c>
      <c r="C10" s="4">
        <v>86</v>
      </c>
      <c r="D10" s="4">
        <v>74</v>
      </c>
      <c r="E10" s="4">
        <v>9</v>
      </c>
      <c r="F10" s="4"/>
      <c r="G10" s="26"/>
    </row>
    <row r="11" spans="1:7" x14ac:dyDescent="0.3">
      <c r="B11" s="52" t="s">
        <v>199</v>
      </c>
      <c r="C11" s="4">
        <v>40</v>
      </c>
      <c r="D11" s="4">
        <v>10</v>
      </c>
      <c r="E11" s="4">
        <v>66</v>
      </c>
      <c r="F11" s="4"/>
      <c r="G11" s="26"/>
    </row>
  </sheetData>
  <autoFilter ref="B3:B9" xr:uid="{DD982E49-8A4F-46D4-A019-24C8F112E631}"/>
  <hyperlinks>
    <hyperlink ref="A2" location="Home!A1" display="Home" xr:uid="{0A5D49A7-2197-4DB0-9A22-2629CF8EC55F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26E4-2144-40AC-8775-623D3285FCE4}">
  <dimension ref="A1:D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3.3984375" customWidth="1"/>
    <col min="3" max="3" width="3.19921875" customWidth="1"/>
  </cols>
  <sheetData>
    <row r="1" spans="1:4" s="2" customFormat="1" ht="32.65" customHeight="1" thickBot="1" x14ac:dyDescent="0.35">
      <c r="A1" s="36">
        <v>30</v>
      </c>
      <c r="B1" s="1" t="s">
        <v>281</v>
      </c>
    </row>
    <row r="2" spans="1:4" x14ac:dyDescent="0.3">
      <c r="A2" s="37" t="s">
        <v>2</v>
      </c>
    </row>
    <row r="3" spans="1:4" x14ac:dyDescent="0.3">
      <c r="B3" s="3" t="s">
        <v>282</v>
      </c>
    </row>
    <row r="4" spans="1:4" x14ac:dyDescent="0.3">
      <c r="B4" s="4">
        <v>-2000</v>
      </c>
      <c r="D4">
        <f>ABS(B4)</f>
        <v>2000</v>
      </c>
    </row>
    <row r="5" spans="1:4" x14ac:dyDescent="0.3">
      <c r="B5" s="4">
        <v>5000</v>
      </c>
      <c r="D5">
        <f t="shared" ref="D5:D11" si="0">ABS(B5)</f>
        <v>5000</v>
      </c>
    </row>
    <row r="6" spans="1:4" x14ac:dyDescent="0.3">
      <c r="B6" s="4">
        <v>10000</v>
      </c>
      <c r="D6">
        <f t="shared" si="0"/>
        <v>10000</v>
      </c>
    </row>
    <row r="7" spans="1:4" x14ac:dyDescent="0.3">
      <c r="B7" s="4">
        <v>-5000</v>
      </c>
      <c r="D7">
        <f t="shared" si="0"/>
        <v>5000</v>
      </c>
    </row>
    <row r="8" spans="1:4" x14ac:dyDescent="0.3">
      <c r="B8" s="4">
        <v>-12000</v>
      </c>
      <c r="D8">
        <f t="shared" si="0"/>
        <v>12000</v>
      </c>
    </row>
    <row r="9" spans="1:4" x14ac:dyDescent="0.3">
      <c r="B9" s="4">
        <v>-2500</v>
      </c>
      <c r="D9">
        <f t="shared" si="0"/>
        <v>2500</v>
      </c>
    </row>
    <row r="10" spans="1:4" x14ac:dyDescent="0.3">
      <c r="B10" s="4">
        <v>1500</v>
      </c>
      <c r="D10">
        <f t="shared" si="0"/>
        <v>1500</v>
      </c>
    </row>
    <row r="11" spans="1:4" x14ac:dyDescent="0.3">
      <c r="B11" s="4">
        <v>-1350</v>
      </c>
      <c r="D11">
        <f t="shared" si="0"/>
        <v>1350</v>
      </c>
    </row>
    <row r="12" spans="1:4" x14ac:dyDescent="0.3">
      <c r="D12">
        <f>SUM(D4:D11)</f>
        <v>39350</v>
      </c>
    </row>
  </sheetData>
  <autoFilter ref="B3:B9" xr:uid="{A39BE008-4FA9-4455-BA9F-F0F847D85286}"/>
  <hyperlinks>
    <hyperlink ref="A2" location="Home!A1" display="Home" xr:uid="{B75E0316-BD77-4DA8-84B9-15C85E768223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B5509-FB2E-475C-B899-42029AC4B4DC}">
  <dimension ref="A1:G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5" width="7.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35">
      <c r="A1" s="36">
        <v>31</v>
      </c>
      <c r="B1" s="1" t="s">
        <v>283</v>
      </c>
    </row>
    <row r="2" spans="1:7" x14ac:dyDescent="0.3">
      <c r="A2" s="37" t="s">
        <v>2</v>
      </c>
    </row>
    <row r="3" spans="1:7" x14ac:dyDescent="0.3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3">
      <c r="B4" s="52" t="s">
        <v>205</v>
      </c>
      <c r="C4" s="4">
        <v>46</v>
      </c>
      <c r="D4" s="4">
        <v>95</v>
      </c>
      <c r="E4" s="4">
        <v>61</v>
      </c>
      <c r="F4" s="4">
        <v>202</v>
      </c>
      <c r="G4" s="23">
        <v>0.67333333333333334</v>
      </c>
    </row>
    <row r="5" spans="1:7" x14ac:dyDescent="0.3">
      <c r="B5" s="52" t="s">
        <v>201</v>
      </c>
      <c r="C5" s="4">
        <v>86</v>
      </c>
      <c r="D5" s="4">
        <v>64</v>
      </c>
      <c r="E5" s="4">
        <v>38</v>
      </c>
      <c r="F5" s="4">
        <v>188</v>
      </c>
      <c r="G5" s="23">
        <v>0.62666666666666671</v>
      </c>
    </row>
    <row r="6" spans="1:7" x14ac:dyDescent="0.3">
      <c r="B6" s="52" t="s">
        <v>204</v>
      </c>
      <c r="C6" s="4">
        <v>65</v>
      </c>
      <c r="D6" s="4">
        <v>63</v>
      </c>
      <c r="E6" s="4">
        <v>23</v>
      </c>
      <c r="F6" s="4">
        <v>151</v>
      </c>
      <c r="G6" s="23">
        <v>0.5033333333333333</v>
      </c>
    </row>
    <row r="7" spans="1:7" x14ac:dyDescent="0.3">
      <c r="B7" s="52" t="s">
        <v>198</v>
      </c>
      <c r="C7" s="4">
        <v>30</v>
      </c>
      <c r="D7" s="4">
        <v>52</v>
      </c>
      <c r="E7" s="4">
        <v>68</v>
      </c>
      <c r="F7" s="4">
        <v>150</v>
      </c>
      <c r="G7" s="23">
        <v>0.5</v>
      </c>
    </row>
    <row r="8" spans="1:7" x14ac:dyDescent="0.3">
      <c r="B8" s="52" t="s">
        <v>200</v>
      </c>
      <c r="C8" s="4">
        <v>62</v>
      </c>
      <c r="D8" s="4">
        <v>42</v>
      </c>
      <c r="E8" s="4">
        <v>44</v>
      </c>
      <c r="F8" s="4">
        <v>148</v>
      </c>
      <c r="G8" s="23">
        <v>0.49333333333333335</v>
      </c>
    </row>
    <row r="9" spans="1:7" x14ac:dyDescent="0.3">
      <c r="B9" s="52" t="s">
        <v>202</v>
      </c>
      <c r="C9" s="4">
        <v>82</v>
      </c>
      <c r="D9" s="4">
        <v>90</v>
      </c>
      <c r="E9" s="4">
        <v>66</v>
      </c>
      <c r="F9" s="4">
        <v>238</v>
      </c>
      <c r="G9" s="23">
        <v>0.79333333333333333</v>
      </c>
    </row>
    <row r="10" spans="1:7" x14ac:dyDescent="0.3">
      <c r="B10" s="52" t="s">
        <v>203</v>
      </c>
      <c r="C10" s="4">
        <v>56</v>
      </c>
      <c r="D10" s="4">
        <v>50</v>
      </c>
      <c r="E10" s="4">
        <v>76</v>
      </c>
      <c r="F10" s="4">
        <v>182</v>
      </c>
      <c r="G10" s="23">
        <v>0.60666666666666669</v>
      </c>
    </row>
    <row r="11" spans="1:7" x14ac:dyDescent="0.3">
      <c r="B11" s="52" t="s">
        <v>199</v>
      </c>
      <c r="C11" s="4">
        <v>91</v>
      </c>
      <c r="D11" s="4">
        <v>75</v>
      </c>
      <c r="E11" s="4">
        <v>90</v>
      </c>
      <c r="F11" s="4">
        <v>256</v>
      </c>
      <c r="G11" s="23">
        <v>0.85333333333333339</v>
      </c>
    </row>
  </sheetData>
  <autoFilter ref="B3:B9" xr:uid="{FC7D2B35-094D-4FBC-A051-0D6D0FD779F1}"/>
  <hyperlinks>
    <hyperlink ref="A2" location="Home!A1" display="Home" xr:uid="{A6DF195C-EDE4-49EE-BCF3-4586B347F6F8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9184-2FCA-4F3F-A0C5-253245C1B178}">
  <dimension ref="A1:G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8.796875" customWidth="1"/>
    <col min="3" max="3" width="19.796875" customWidth="1"/>
    <col min="4" max="4" width="3.59765625" customWidth="1"/>
    <col min="5" max="5" width="14.796875" customWidth="1"/>
    <col min="6" max="7" width="14" customWidth="1"/>
  </cols>
  <sheetData>
    <row r="1" spans="1:7" s="2" customFormat="1" ht="32.65" customHeight="1" thickBot="1" x14ac:dyDescent="0.35">
      <c r="A1" s="36">
        <v>32</v>
      </c>
      <c r="B1" s="1" t="s">
        <v>284</v>
      </c>
    </row>
    <row r="2" spans="1:7" x14ac:dyDescent="0.3">
      <c r="A2" s="37" t="s">
        <v>2</v>
      </c>
    </row>
    <row r="3" spans="1:7" x14ac:dyDescent="0.3">
      <c r="B3" s="3" t="s">
        <v>285</v>
      </c>
      <c r="C3" s="3"/>
      <c r="E3" s="3" t="s">
        <v>286</v>
      </c>
      <c r="F3" s="3"/>
      <c r="G3" s="3"/>
    </row>
    <row r="4" spans="1:7" x14ac:dyDescent="0.3">
      <c r="B4" s="28">
        <v>1231231231231230</v>
      </c>
      <c r="C4" s="4" t="str">
        <f>TEXT(B4,"#### #### #### ####")</f>
        <v>1231 2312 3123 1230</v>
      </c>
      <c r="E4" s="27">
        <v>45352</v>
      </c>
      <c r="F4" s="4" t="str">
        <f>TEXT(E4,"ddd, mmm yyyy")</f>
        <v>Fri, Mar 2024</v>
      </c>
      <c r="G4" s="4" t="str">
        <f>TEXT(E4,"dddd")</f>
        <v>Friday</v>
      </c>
    </row>
    <row r="5" spans="1:7" x14ac:dyDescent="0.3">
      <c r="B5" s="28">
        <v>1231231231231230</v>
      </c>
      <c r="C5" s="4" t="str">
        <f>TEXT(B5,"#### #### #### ####")</f>
        <v>1231 2312 3123 1230</v>
      </c>
      <c r="E5" s="27">
        <v>45383</v>
      </c>
      <c r="F5" s="4" t="str">
        <f>TEXT(E5,"ddd, mmm yyyy")</f>
        <v>Mon, Apr 2024</v>
      </c>
      <c r="G5" s="4" t="str">
        <f>TEXT(E5,"dddd")</f>
        <v>Monday</v>
      </c>
    </row>
    <row r="6" spans="1:7" x14ac:dyDescent="0.3">
      <c r="B6" s="28">
        <v>1231231231231230</v>
      </c>
      <c r="C6" s="4" t="str">
        <f>TEXT(B6,"#### #### #### ####")</f>
        <v>1231 2312 3123 1230</v>
      </c>
      <c r="E6" s="27">
        <v>45444</v>
      </c>
      <c r="F6" s="4" t="str">
        <f>TEXT(E6,"ddd, mmm yyyy")</f>
        <v>Sat, Jun 2024</v>
      </c>
      <c r="G6" s="4" t="str">
        <f>TEXT(E6,"dddd")</f>
        <v>Saturday</v>
      </c>
    </row>
    <row r="7" spans="1:7" x14ac:dyDescent="0.3">
      <c r="B7" s="28">
        <v>1231231231231230</v>
      </c>
      <c r="C7" s="4" t="str">
        <f>TEXT(B7,"#### #### #### ####")</f>
        <v>1231 2312 3123 1230</v>
      </c>
      <c r="E7" s="27">
        <v>45352</v>
      </c>
      <c r="F7" s="4" t="str">
        <f>TEXT(E7,"ddd, mmm yyyy")</f>
        <v>Fri, Mar 2024</v>
      </c>
      <c r="G7" s="4" t="str">
        <f>TEXT(E7,"dddd")</f>
        <v>Friday</v>
      </c>
    </row>
    <row r="9" spans="1:7" x14ac:dyDescent="0.3">
      <c r="B9" s="3" t="s">
        <v>96</v>
      </c>
      <c r="C9" s="3"/>
      <c r="E9" s="3" t="s">
        <v>286</v>
      </c>
      <c r="F9" s="3"/>
    </row>
    <row r="10" spans="1:7" x14ac:dyDescent="0.3">
      <c r="B10" s="28">
        <v>500</v>
      </c>
      <c r="C10" s="4" t="str">
        <f>"price is "&amp;TEXT(B10,"$#")</f>
        <v>price is $500</v>
      </c>
      <c r="E10" s="27">
        <v>45352</v>
      </c>
      <c r="F10" s="4" t="str">
        <f>TEXT(E10,"mmmm - yyyy")</f>
        <v>March - 2024</v>
      </c>
    </row>
    <row r="11" spans="1:7" x14ac:dyDescent="0.3">
      <c r="B11" s="28">
        <v>200</v>
      </c>
      <c r="C11" s="4" t="str">
        <f>"price is "&amp;TEXT(B11,"$#")</f>
        <v>price is $200</v>
      </c>
      <c r="E11" s="27">
        <v>45383</v>
      </c>
      <c r="F11" s="4" t="str">
        <f>TEXT(E11,"mmmm - yyyy")</f>
        <v>April - 2024</v>
      </c>
    </row>
    <row r="12" spans="1:7" x14ac:dyDescent="0.3">
      <c r="B12" s="28">
        <v>800</v>
      </c>
      <c r="C12" s="4" t="str">
        <f>"price is "&amp;TEXT(B12,"$#")</f>
        <v>price is $800</v>
      </c>
      <c r="E12" s="27">
        <v>45444</v>
      </c>
      <c r="F12" s="4" t="str">
        <f>TEXT(E12,"mmmm - yyyy")</f>
        <v>June - 2024</v>
      </c>
    </row>
    <row r="13" spans="1:7" x14ac:dyDescent="0.3">
      <c r="B13" s="28">
        <v>40</v>
      </c>
      <c r="C13" s="4" t="str">
        <f>"price is "&amp;TEXT(B13,"$#")</f>
        <v>price is $40</v>
      </c>
      <c r="E13" s="27">
        <v>45352</v>
      </c>
      <c r="F13" s="4" t="str">
        <f>TEXT(E13,"mmmm - yyyy")</f>
        <v>March - 2024</v>
      </c>
    </row>
  </sheetData>
  <autoFilter ref="B3:B7" xr:uid="{69D7C7C3-C27D-44C1-9472-83C71879A5BA}"/>
  <hyperlinks>
    <hyperlink ref="A2" location="Home!A1" display="Home" xr:uid="{6223B068-61D5-40AA-A131-494434B9B8ED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DD12-6AA5-4CC2-8A35-B37E164123AC}">
  <dimension ref="A1:E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.19921875" customWidth="1"/>
    <col min="3" max="3" width="15.8984375" bestFit="1" customWidth="1"/>
    <col min="5" max="5" width="13.296875" bestFit="1" customWidth="1"/>
  </cols>
  <sheetData>
    <row r="1" spans="1:5" s="2" customFormat="1" ht="32.65" customHeight="1" thickBot="1" x14ac:dyDescent="0.35">
      <c r="A1" s="36">
        <v>33</v>
      </c>
      <c r="B1" s="1" t="s">
        <v>287</v>
      </c>
    </row>
    <row r="2" spans="1:5" x14ac:dyDescent="0.3">
      <c r="A2" s="37" t="s">
        <v>2</v>
      </c>
    </row>
    <row r="3" spans="1:5" x14ac:dyDescent="0.3">
      <c r="B3" s="40" t="s">
        <v>83</v>
      </c>
      <c r="C3" s="40" t="s">
        <v>83</v>
      </c>
      <c r="E3" s="38"/>
    </row>
    <row r="4" spans="1:5" x14ac:dyDescent="0.3">
      <c r="B4" s="39" t="s">
        <v>288</v>
      </c>
      <c r="C4" s="39" t="str">
        <f>UPPER(B4)</f>
        <v>BREAD</v>
      </c>
    </row>
    <row r="5" spans="1:5" x14ac:dyDescent="0.3">
      <c r="B5" s="39" t="s">
        <v>135</v>
      </c>
      <c r="C5" s="39" t="str">
        <f t="shared" ref="C5:C12" si="0">UPPER(B5)</f>
        <v>CHIPS</v>
      </c>
    </row>
    <row r="6" spans="1:5" x14ac:dyDescent="0.3">
      <c r="B6" s="39" t="s">
        <v>289</v>
      </c>
      <c r="C6" s="39" t="str">
        <f t="shared" si="0"/>
        <v>JUICE</v>
      </c>
    </row>
    <row r="7" spans="1:5" x14ac:dyDescent="0.3">
      <c r="B7" s="39" t="s">
        <v>290</v>
      </c>
      <c r="C7" s="39" t="str">
        <f t="shared" si="0"/>
        <v>APPLE</v>
      </c>
    </row>
    <row r="8" spans="1:5" x14ac:dyDescent="0.3">
      <c r="B8" s="39" t="s">
        <v>291</v>
      </c>
      <c r="C8" s="39" t="str">
        <f t="shared" si="0"/>
        <v>CAKE</v>
      </c>
    </row>
    <row r="9" spans="1:5" x14ac:dyDescent="0.3">
      <c r="B9" s="39" t="s">
        <v>292</v>
      </c>
      <c r="C9" s="39" t="str">
        <f t="shared" si="0"/>
        <v>RICE</v>
      </c>
    </row>
    <row r="10" spans="1:5" x14ac:dyDescent="0.3">
      <c r="B10" s="39" t="s">
        <v>293</v>
      </c>
      <c r="C10" s="39" t="str">
        <f t="shared" si="0"/>
        <v>JAM</v>
      </c>
    </row>
    <row r="11" spans="1:5" x14ac:dyDescent="0.3">
      <c r="B11" s="39" t="s">
        <v>294</v>
      </c>
      <c r="C11" s="39" t="str">
        <f t="shared" si="0"/>
        <v>NUTS</v>
      </c>
    </row>
    <row r="12" spans="1:5" x14ac:dyDescent="0.3">
      <c r="B12" s="39" t="s">
        <v>295</v>
      </c>
      <c r="C12" s="39" t="str">
        <f t="shared" si="0"/>
        <v>MILK</v>
      </c>
    </row>
  </sheetData>
  <hyperlinks>
    <hyperlink ref="A2" location="Home!A1" display="Home" xr:uid="{CC19A74B-1474-4126-A1B0-A9C3ABD8E54C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4D815-4E24-4A61-A9E0-82CB11EBF38D}">
  <dimension ref="A1:C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3" width="14.19921875" customWidth="1"/>
    <col min="5" max="5" width="9.796875" bestFit="1" customWidth="1"/>
  </cols>
  <sheetData>
    <row r="1" spans="1:3" s="2" customFormat="1" ht="32.65" customHeight="1" thickBot="1" x14ac:dyDescent="0.35">
      <c r="A1" s="36">
        <v>34</v>
      </c>
      <c r="B1" s="1" t="s">
        <v>296</v>
      </c>
    </row>
    <row r="2" spans="1:3" x14ac:dyDescent="0.3">
      <c r="A2" s="37" t="s">
        <v>2</v>
      </c>
    </row>
    <row r="3" spans="1:3" x14ac:dyDescent="0.3">
      <c r="B3" s="40" t="s">
        <v>83</v>
      </c>
      <c r="C3" s="3" t="s">
        <v>83</v>
      </c>
    </row>
    <row r="4" spans="1:3" x14ac:dyDescent="0.3">
      <c r="B4" s="39" t="s">
        <v>297</v>
      </c>
      <c r="C4" s="4" t="str">
        <f>LOWER(B4)</f>
        <v>milk</v>
      </c>
    </row>
    <row r="5" spans="1:3" x14ac:dyDescent="0.3">
      <c r="B5" s="39" t="s">
        <v>298</v>
      </c>
      <c r="C5" s="4" t="str">
        <f t="shared" ref="C5:C12" si="0">LOWER(B5)</f>
        <v>butter</v>
      </c>
    </row>
    <row r="6" spans="1:3" x14ac:dyDescent="0.3">
      <c r="B6" s="39" t="s">
        <v>299</v>
      </c>
      <c r="C6" s="4" t="str">
        <f t="shared" si="0"/>
        <v>cheese</v>
      </c>
    </row>
    <row r="7" spans="1:3" x14ac:dyDescent="0.3">
      <c r="B7" s="39" t="s">
        <v>300</v>
      </c>
      <c r="C7" s="4" t="str">
        <f t="shared" si="0"/>
        <v>curd</v>
      </c>
    </row>
    <row r="8" spans="1:3" x14ac:dyDescent="0.3">
      <c r="B8" s="39" t="s">
        <v>301</v>
      </c>
      <c r="C8" s="4" t="str">
        <f t="shared" si="0"/>
        <v>ghee</v>
      </c>
    </row>
    <row r="9" spans="1:3" x14ac:dyDescent="0.3">
      <c r="B9" s="39" t="s">
        <v>302</v>
      </c>
      <c r="C9" s="4" t="str">
        <f t="shared" si="0"/>
        <v>cream</v>
      </c>
    </row>
    <row r="10" spans="1:3" x14ac:dyDescent="0.3">
      <c r="B10" s="39" t="s">
        <v>303</v>
      </c>
      <c r="C10" s="4" t="str">
        <f t="shared" si="0"/>
        <v>paneer</v>
      </c>
    </row>
    <row r="11" spans="1:3" x14ac:dyDescent="0.3">
      <c r="B11" s="39" t="s">
        <v>304</v>
      </c>
      <c r="C11" s="4" t="str">
        <f t="shared" si="0"/>
        <v>lassi</v>
      </c>
    </row>
    <row r="12" spans="1:3" x14ac:dyDescent="0.3">
      <c r="B12" s="39" t="s">
        <v>305</v>
      </c>
      <c r="C12" s="4" t="str">
        <f t="shared" si="0"/>
        <v>buttermilk</v>
      </c>
    </row>
  </sheetData>
  <hyperlinks>
    <hyperlink ref="A2" location="Home!A1" display="Home" xr:uid="{B0410B16-62F7-4927-9845-349035F2D2EF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AA2D-21A0-4FBA-BA13-A567018164C6}">
  <dimension ref="A1:C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3" width="14.19921875" customWidth="1"/>
    <col min="5" max="5" width="11.09765625" bestFit="1" customWidth="1"/>
  </cols>
  <sheetData>
    <row r="1" spans="1:3" s="2" customFormat="1" ht="32.65" customHeight="1" thickBot="1" x14ac:dyDescent="0.35">
      <c r="A1" s="36">
        <v>35</v>
      </c>
      <c r="B1" s="1" t="s">
        <v>306</v>
      </c>
    </row>
    <row r="2" spans="1:3" x14ac:dyDescent="0.3">
      <c r="A2" s="37" t="s">
        <v>2</v>
      </c>
    </row>
    <row r="3" spans="1:3" x14ac:dyDescent="0.3">
      <c r="B3" s="42" t="s">
        <v>83</v>
      </c>
      <c r="C3" s="42" t="s">
        <v>83</v>
      </c>
    </row>
    <row r="4" spans="1:3" x14ac:dyDescent="0.3">
      <c r="B4" s="39" t="s">
        <v>307</v>
      </c>
      <c r="C4" s="39" t="str">
        <f t="shared" ref="C4:C12" si="0">PROPER(B4)</f>
        <v>Wallet</v>
      </c>
    </row>
    <row r="5" spans="1:3" x14ac:dyDescent="0.3">
      <c r="B5" s="39" t="s">
        <v>308</v>
      </c>
      <c r="C5" s="39" t="str">
        <f t="shared" si="0"/>
        <v>Sunglasses</v>
      </c>
    </row>
    <row r="6" spans="1:3" x14ac:dyDescent="0.3">
      <c r="B6" s="39" t="s">
        <v>309</v>
      </c>
      <c r="C6" s="39" t="str">
        <f t="shared" si="0"/>
        <v>Watch</v>
      </c>
    </row>
    <row r="7" spans="1:3" x14ac:dyDescent="0.3">
      <c r="B7" s="39" t="s">
        <v>310</v>
      </c>
      <c r="C7" s="39" t="str">
        <f t="shared" si="0"/>
        <v>Belt</v>
      </c>
    </row>
    <row r="8" spans="1:3" x14ac:dyDescent="0.3">
      <c r="B8" s="39" t="s">
        <v>311</v>
      </c>
      <c r="C8" s="39" t="str">
        <f t="shared" si="0"/>
        <v>Shoes</v>
      </c>
    </row>
    <row r="9" spans="1:3" x14ac:dyDescent="0.3">
      <c r="B9" s="39" t="s">
        <v>312</v>
      </c>
      <c r="C9" s="39" t="str">
        <f t="shared" si="0"/>
        <v>Tie</v>
      </c>
    </row>
    <row r="10" spans="1:3" x14ac:dyDescent="0.3">
      <c r="B10" s="39" t="s">
        <v>313</v>
      </c>
      <c r="C10" s="39" t="str">
        <f t="shared" si="0"/>
        <v>Backpack</v>
      </c>
    </row>
    <row r="11" spans="1:3" x14ac:dyDescent="0.3">
      <c r="B11" s="39" t="s">
        <v>314</v>
      </c>
      <c r="C11" s="39" t="str">
        <f t="shared" si="0"/>
        <v>Cap</v>
      </c>
    </row>
    <row r="12" spans="1:3" x14ac:dyDescent="0.3">
      <c r="B12" s="39" t="s">
        <v>315</v>
      </c>
      <c r="C12" s="39" t="str">
        <f t="shared" si="0"/>
        <v>Perfume</v>
      </c>
    </row>
  </sheetData>
  <hyperlinks>
    <hyperlink ref="A2" location="Home!A1" display="Home" xr:uid="{507972A5-C199-4B29-A306-D8647A880EF4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794D-9A2D-4744-B078-9669CB9EEC8E}">
  <dimension ref="A1:E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4" width="13" customWidth="1"/>
    <col min="5" max="5" width="25.69921875" customWidth="1"/>
  </cols>
  <sheetData>
    <row r="1" spans="1:5" s="2" customFormat="1" ht="32.65" customHeight="1" thickBot="1" x14ac:dyDescent="0.35">
      <c r="A1" s="36">
        <v>36</v>
      </c>
      <c r="B1" s="1" t="s">
        <v>316</v>
      </c>
    </row>
    <row r="2" spans="1:5" x14ac:dyDescent="0.3">
      <c r="A2" s="37" t="s">
        <v>2</v>
      </c>
    </row>
    <row r="3" spans="1:5" x14ac:dyDescent="0.3">
      <c r="B3" s="3" t="s">
        <v>317</v>
      </c>
      <c r="C3" s="3" t="s">
        <v>318</v>
      </c>
      <c r="D3" s="3" t="s">
        <v>319</v>
      </c>
      <c r="E3" s="3" t="s">
        <v>320</v>
      </c>
    </row>
    <row r="4" spans="1:5" x14ac:dyDescent="0.3">
      <c r="B4" s="4" t="s">
        <v>321</v>
      </c>
      <c r="C4" s="4" t="s">
        <v>322</v>
      </c>
      <c r="D4" s="4" t="s">
        <v>323</v>
      </c>
      <c r="E4" s="4" t="str">
        <f>CONCATENATE(B4&amp;"_"&amp;C4&amp;"_"&amp;D4)</f>
        <v>raj_kumar_singh</v>
      </c>
    </row>
    <row r="5" spans="1:5" x14ac:dyDescent="0.3">
      <c r="B5" s="4" t="s">
        <v>324</v>
      </c>
      <c r="C5" s="4"/>
      <c r="D5" s="4" t="s">
        <v>325</v>
      </c>
      <c r="E5" s="4" t="str">
        <f>CONCATENATE(B5&amp;" "&amp;C5&amp;" "&amp;D5)</f>
        <v>Monu  Sharma</v>
      </c>
    </row>
    <row r="6" spans="1:5" x14ac:dyDescent="0.3">
      <c r="B6" s="4" t="s">
        <v>326</v>
      </c>
      <c r="C6" s="4" t="s">
        <v>327</v>
      </c>
      <c r="D6" s="4" t="s">
        <v>322</v>
      </c>
      <c r="E6" s="4" t="str">
        <f>CONCATENATE(B6&amp;" "&amp;C6&amp;" "&amp;D6)</f>
        <v>JK rakesh kumar</v>
      </c>
    </row>
    <row r="7" spans="1:5" x14ac:dyDescent="0.3">
      <c r="B7" s="4" t="s">
        <v>328</v>
      </c>
      <c r="C7" s="4" t="s">
        <v>329</v>
      </c>
      <c r="D7" s="4" t="s">
        <v>330</v>
      </c>
      <c r="E7" s="4" t="str">
        <f>CONCATENATE(B7&amp;" "&amp;C7&amp;" "&amp;D7)</f>
        <v>Raju Singh Tewatia</v>
      </c>
    </row>
    <row r="8" spans="1:5" x14ac:dyDescent="0.3">
      <c r="B8" s="4" t="s">
        <v>331</v>
      </c>
      <c r="C8" s="4"/>
      <c r="D8" s="4" t="s">
        <v>332</v>
      </c>
      <c r="E8" s="4" t="str">
        <f>CONCATENATE(B8&amp;" "&amp;C8&amp;" "&amp;D8)</f>
        <v>amit  jain</v>
      </c>
    </row>
  </sheetData>
  <hyperlinks>
    <hyperlink ref="A2" location="Home!A1" display="Home" xr:uid="{72FB92E1-3DBD-447B-9A79-5E1FB116F673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E29C6-18CB-4A4D-BA08-403DCF4ABB80}">
  <dimension ref="A1:E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4" width="13" customWidth="1"/>
    <col min="5" max="5" width="25.69921875" customWidth="1"/>
  </cols>
  <sheetData>
    <row r="1" spans="1:5" s="2" customFormat="1" ht="32.65" customHeight="1" thickBot="1" x14ac:dyDescent="0.35">
      <c r="A1" s="36">
        <v>37</v>
      </c>
      <c r="B1" s="1" t="s">
        <v>333</v>
      </c>
    </row>
    <row r="2" spans="1:5" x14ac:dyDescent="0.3">
      <c r="A2" s="37" t="s">
        <v>2</v>
      </c>
    </row>
    <row r="3" spans="1:5" x14ac:dyDescent="0.3">
      <c r="B3" s="3" t="s">
        <v>317</v>
      </c>
      <c r="C3" s="3" t="s">
        <v>318</v>
      </c>
      <c r="D3" s="3" t="s">
        <v>319</v>
      </c>
      <c r="E3" s="3" t="s">
        <v>320</v>
      </c>
    </row>
    <row r="4" spans="1:5" x14ac:dyDescent="0.3">
      <c r="B4" s="4" t="s">
        <v>321</v>
      </c>
      <c r="C4" s="4" t="s">
        <v>322</v>
      </c>
      <c r="D4" s="4" t="s">
        <v>323</v>
      </c>
      <c r="E4" s="4" t="str">
        <f>B4&amp;" "&amp;C4&amp;" "&amp;D4</f>
        <v>raj kumar singh</v>
      </c>
    </row>
    <row r="5" spans="1:5" x14ac:dyDescent="0.3">
      <c r="B5" s="4" t="s">
        <v>324</v>
      </c>
      <c r="C5" s="4"/>
      <c r="D5" s="4" t="s">
        <v>325</v>
      </c>
      <c r="E5" s="4" t="str">
        <f>B5&amp;" "&amp;C5&amp;" "&amp;D5</f>
        <v>Monu  Sharma</v>
      </c>
    </row>
    <row r="6" spans="1:5" x14ac:dyDescent="0.3">
      <c r="B6" s="4" t="s">
        <v>326</v>
      </c>
      <c r="C6" s="4" t="s">
        <v>327</v>
      </c>
      <c r="D6" s="4" t="s">
        <v>322</v>
      </c>
      <c r="E6" s="4" t="str">
        <f>B6&amp;" "&amp;C6&amp;" "&amp;D6</f>
        <v>JK rakesh kumar</v>
      </c>
    </row>
    <row r="7" spans="1:5" x14ac:dyDescent="0.3">
      <c r="B7" s="4" t="s">
        <v>328</v>
      </c>
      <c r="C7" s="4" t="s">
        <v>329</v>
      </c>
      <c r="D7" s="4" t="s">
        <v>330</v>
      </c>
      <c r="E7" s="4" t="str">
        <f>B7&amp;" "&amp;C7&amp;" "&amp;D7</f>
        <v>Raju Singh Tewatia</v>
      </c>
    </row>
    <row r="8" spans="1:5" x14ac:dyDescent="0.3">
      <c r="B8" s="4" t="s">
        <v>331</v>
      </c>
      <c r="C8" s="4"/>
      <c r="D8" s="4" t="s">
        <v>332</v>
      </c>
      <c r="E8" s="4" t="str">
        <f>B8&amp;" "&amp;C8&amp;" "&amp;D8</f>
        <v>amit  jain</v>
      </c>
    </row>
    <row r="10" spans="1:5" x14ac:dyDescent="0.3">
      <c r="B10" t="s">
        <v>96</v>
      </c>
    </row>
    <row r="11" spans="1:5" x14ac:dyDescent="0.3">
      <c r="B11">
        <v>550</v>
      </c>
      <c r="C11" t="str">
        <f>"Price is = "&amp;B11</f>
        <v>Price is = 550</v>
      </c>
    </row>
    <row r="12" spans="1:5" x14ac:dyDescent="0.3">
      <c r="B12">
        <v>345</v>
      </c>
      <c r="C12" t="str">
        <f>"Price is = "&amp;B12</f>
        <v>Price is = 345</v>
      </c>
    </row>
    <row r="13" spans="1:5" x14ac:dyDescent="0.3">
      <c r="B13">
        <v>33</v>
      </c>
      <c r="C13" t="str">
        <f>"Price is = "&amp;B13</f>
        <v>Price is = 33</v>
      </c>
    </row>
  </sheetData>
  <hyperlinks>
    <hyperlink ref="A2" location="Home!A1" display="Home" xr:uid="{348469B8-C5E1-49DB-B5AA-359610671A71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79FE-4066-41AF-87B1-3A0BF1689828}">
  <dimension ref="A1:E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4" width="13" customWidth="1"/>
    <col min="5" max="5" width="25.69921875" customWidth="1"/>
  </cols>
  <sheetData>
    <row r="1" spans="1:5" s="2" customFormat="1" ht="32.65" customHeight="1" thickBot="1" x14ac:dyDescent="0.35">
      <c r="A1" s="36">
        <v>38</v>
      </c>
      <c r="B1" s="1" t="s">
        <v>334</v>
      </c>
    </row>
    <row r="2" spans="1:5" x14ac:dyDescent="0.3">
      <c r="A2" s="37" t="s">
        <v>2</v>
      </c>
    </row>
    <row r="3" spans="1:5" x14ac:dyDescent="0.3">
      <c r="B3" s="3" t="s">
        <v>317</v>
      </c>
      <c r="C3" s="3" t="s">
        <v>318</v>
      </c>
      <c r="D3" s="3" t="s">
        <v>319</v>
      </c>
      <c r="E3" s="3" t="s">
        <v>320</v>
      </c>
    </row>
    <row r="4" spans="1:5" x14ac:dyDescent="0.3">
      <c r="B4" s="4" t="s">
        <v>321</v>
      </c>
      <c r="C4" s="4" t="s">
        <v>322</v>
      </c>
      <c r="D4" s="4" t="s">
        <v>323</v>
      </c>
      <c r="E4" s="4" t="str">
        <f>_xlfn.TEXTJOIN("_",TRUE,B4:D4)</f>
        <v>raj_kumar_singh</v>
      </c>
    </row>
    <row r="5" spans="1:5" x14ac:dyDescent="0.3">
      <c r="B5" s="4" t="s">
        <v>324</v>
      </c>
      <c r="C5" s="4"/>
      <c r="D5" s="4" t="s">
        <v>325</v>
      </c>
      <c r="E5" s="4" t="str">
        <f>_xlfn.TEXTJOIN("_",TRUE,B5:D5)</f>
        <v>Monu_Sharma</v>
      </c>
    </row>
    <row r="6" spans="1:5" x14ac:dyDescent="0.3">
      <c r="B6" s="4" t="s">
        <v>326</v>
      </c>
      <c r="C6" s="4" t="s">
        <v>327</v>
      </c>
      <c r="D6" s="4" t="s">
        <v>322</v>
      </c>
      <c r="E6" s="4" t="str">
        <f>_xlfn.TEXTJOIN("_",TRUE,B6:D6)</f>
        <v>JK_rakesh_kumar</v>
      </c>
    </row>
    <row r="7" spans="1:5" x14ac:dyDescent="0.3">
      <c r="B7" s="4" t="s">
        <v>328</v>
      </c>
      <c r="C7" s="4" t="s">
        <v>329</v>
      </c>
      <c r="D7" s="4" t="s">
        <v>330</v>
      </c>
      <c r="E7" s="4" t="str">
        <f>_xlfn.TEXTJOIN("_",TRUE,B7:D7)</f>
        <v>Raju_Singh_Tewatia</v>
      </c>
    </row>
    <row r="8" spans="1:5" x14ac:dyDescent="0.3">
      <c r="B8" s="4" t="s">
        <v>331</v>
      </c>
      <c r="C8" s="4"/>
      <c r="D8" s="4" t="s">
        <v>332</v>
      </c>
      <c r="E8" s="4" t="str">
        <f>_xlfn.TEXTJOIN("_",TRUE,B8:D8)</f>
        <v>amit_jain</v>
      </c>
    </row>
  </sheetData>
  <hyperlinks>
    <hyperlink ref="A2" location="Home!A1" display="Home" xr:uid="{55BB8E84-5ADD-4D51-B8F6-2AAFDF5F0FF4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75E6-2ED3-4074-8C4F-33F0179FE11A}">
  <dimension ref="A1:E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5" s="2" customFormat="1" ht="32.65" customHeight="1" thickBot="1" x14ac:dyDescent="0.35">
      <c r="A1" s="36">
        <v>39</v>
      </c>
      <c r="B1" s="1" t="s">
        <v>335</v>
      </c>
    </row>
    <row r="2" spans="1:5" x14ac:dyDescent="0.3">
      <c r="A2" s="37" t="s">
        <v>2</v>
      </c>
    </row>
    <row r="3" spans="1:5" x14ac:dyDescent="0.3">
      <c r="B3" s="3" t="s">
        <v>336</v>
      </c>
      <c r="C3" s="3" t="s">
        <v>337</v>
      </c>
    </row>
    <row r="4" spans="1:5" x14ac:dyDescent="0.3">
      <c r="B4" s="4" t="s">
        <v>338</v>
      </c>
      <c r="C4" s="4" t="str">
        <f>LEFT(B4,6)</f>
        <v>110062</v>
      </c>
    </row>
    <row r="5" spans="1:5" x14ac:dyDescent="0.3">
      <c r="B5" s="4" t="s">
        <v>339</v>
      </c>
      <c r="C5" s="4" t="str">
        <f>LEFT(B5,6)</f>
        <v>121102</v>
      </c>
    </row>
    <row r="6" spans="1:5" x14ac:dyDescent="0.3">
      <c r="B6" s="4" t="s">
        <v>340</v>
      </c>
      <c r="C6" s="4" t="str">
        <f>LEFT(B6,6)</f>
        <v>140003</v>
      </c>
    </row>
    <row r="7" spans="1:5" x14ac:dyDescent="0.3">
      <c r="B7" s="4" t="s">
        <v>341</v>
      </c>
      <c r="C7" s="4" t="str">
        <f>LEFT(B7,6)</f>
        <v>121102</v>
      </c>
    </row>
    <row r="9" spans="1:5" x14ac:dyDescent="0.3">
      <c r="B9" t="s">
        <v>342</v>
      </c>
      <c r="C9">
        <f>FIND(",",B9)-1</f>
        <v>5</v>
      </c>
      <c r="E9" t="str">
        <f>LEFT(B9,FIND(",",B9)-1)</f>
        <v>delhi</v>
      </c>
    </row>
    <row r="10" spans="1:5" x14ac:dyDescent="0.3">
      <c r="B10" t="s">
        <v>343</v>
      </c>
      <c r="C10">
        <f>FIND(",",B10)</f>
        <v>10</v>
      </c>
      <c r="E10" t="str">
        <f>LEFT(B10,FIND(",",B10)-1)</f>
        <v>faridabad</v>
      </c>
    </row>
    <row r="11" spans="1:5" x14ac:dyDescent="0.3">
      <c r="B11" t="s">
        <v>344</v>
      </c>
      <c r="C11">
        <f>FIND(",",B11)</f>
        <v>7</v>
      </c>
      <c r="E11" t="str">
        <f>LEFT(B11,FIND(",",B11)-1)</f>
        <v>palwal</v>
      </c>
    </row>
  </sheetData>
  <hyperlinks>
    <hyperlink ref="A2" location="Home!A1" display="Home" xr:uid="{5CBD98C9-8935-447F-8C5C-57F076040AD1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82C2E-A37D-48B3-BE99-345C5A23A13D}">
  <dimension ref="A1:C13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6">
        <v>40</v>
      </c>
      <c r="B1" s="1" t="s">
        <v>345</v>
      </c>
    </row>
    <row r="2" spans="1:3" x14ac:dyDescent="0.3">
      <c r="A2" s="37" t="s">
        <v>2</v>
      </c>
    </row>
    <row r="3" spans="1:3" x14ac:dyDescent="0.3">
      <c r="B3" s="3" t="s">
        <v>336</v>
      </c>
      <c r="C3" s="3" t="s">
        <v>346</v>
      </c>
    </row>
    <row r="4" spans="1:3" x14ac:dyDescent="0.3">
      <c r="B4" s="4" t="s">
        <v>338</v>
      </c>
      <c r="C4" s="4" t="str">
        <f>RIGHT(B4,10)</f>
        <v>9999999999</v>
      </c>
    </row>
    <row r="5" spans="1:3" x14ac:dyDescent="0.3">
      <c r="B5" s="4" t="s">
        <v>339</v>
      </c>
      <c r="C5" s="4" t="str">
        <f>RIGHT(B5,10)</f>
        <v>4444444444</v>
      </c>
    </row>
    <row r="6" spans="1:3" x14ac:dyDescent="0.3">
      <c r="B6" s="4" t="s">
        <v>340</v>
      </c>
      <c r="C6" s="4" t="str">
        <f>RIGHT(B6,10)</f>
        <v>3333333333</v>
      </c>
    </row>
    <row r="7" spans="1:3" x14ac:dyDescent="0.3">
      <c r="B7" s="4" t="s">
        <v>341</v>
      </c>
      <c r="C7" s="4" t="str">
        <f>RIGHT(B7,10)</f>
        <v>4456555555</v>
      </c>
    </row>
    <row r="8" spans="1:3" x14ac:dyDescent="0.3">
      <c r="C8" s="4" t="str">
        <f>RIGHT(B8,10)</f>
        <v/>
      </c>
    </row>
    <row r="9" spans="1:3" x14ac:dyDescent="0.3">
      <c r="B9" t="s">
        <v>346</v>
      </c>
    </row>
    <row r="10" spans="1:3" x14ac:dyDescent="0.3">
      <c r="B10">
        <v>91224567890</v>
      </c>
      <c r="C10" t="str">
        <f>LEFT(B10,4)&amp;"****"&amp;RIGHT(B10,3)</f>
        <v>9122****890</v>
      </c>
    </row>
    <row r="11" spans="1:3" x14ac:dyDescent="0.3">
      <c r="B11">
        <v>91224567891</v>
      </c>
      <c r="C11" t="str">
        <f>LEFT(B11,4)&amp;"****"&amp;RIGHT(B11,3)</f>
        <v>9122****891</v>
      </c>
    </row>
    <row r="12" spans="1:3" x14ac:dyDescent="0.3">
      <c r="B12">
        <v>91224567892</v>
      </c>
      <c r="C12" t="str">
        <f>LEFT(B12,4)&amp;"****"&amp;RIGHT(B12,3)</f>
        <v>9122****892</v>
      </c>
    </row>
    <row r="13" spans="1:3" x14ac:dyDescent="0.3">
      <c r="B13">
        <v>91224567893</v>
      </c>
      <c r="C13" t="str">
        <f>LEFT(B13,4)&amp;"****"&amp;RIGHT(B13,3)</f>
        <v>9122****893</v>
      </c>
    </row>
  </sheetData>
  <hyperlinks>
    <hyperlink ref="A2" location="Home!A1" display="Home" xr:uid="{05BEF282-44F0-4720-BBCA-0E0D5BB1C5C1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8C45-297F-471D-894A-632D00D8E396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6">
        <v>41</v>
      </c>
      <c r="B1" s="1" t="s">
        <v>347</v>
      </c>
    </row>
    <row r="2" spans="1:3" x14ac:dyDescent="0.3">
      <c r="A2" s="37" t="s">
        <v>2</v>
      </c>
    </row>
    <row r="3" spans="1:3" x14ac:dyDescent="0.3">
      <c r="B3" s="3" t="s">
        <v>348</v>
      </c>
      <c r="C3" s="3"/>
    </row>
    <row r="4" spans="1:3" x14ac:dyDescent="0.3">
      <c r="B4" s="4" t="s">
        <v>349</v>
      </c>
      <c r="C4" s="4" t="str">
        <f>MID(B4,7,7)</f>
        <v>2343454</v>
      </c>
    </row>
    <row r="5" spans="1:3" x14ac:dyDescent="0.3">
      <c r="B5" s="4" t="s">
        <v>350</v>
      </c>
      <c r="C5" s="4" t="str">
        <f>MID(B5,7,7)</f>
        <v>2343455</v>
      </c>
    </row>
    <row r="6" spans="1:3" x14ac:dyDescent="0.3">
      <c r="B6" s="4" t="s">
        <v>351</v>
      </c>
      <c r="C6" s="4" t="str">
        <f>MID(B6,7,7)</f>
        <v>2343456</v>
      </c>
    </row>
    <row r="7" spans="1:3" x14ac:dyDescent="0.3">
      <c r="B7" s="4" t="s">
        <v>352</v>
      </c>
      <c r="C7" s="4" t="str">
        <f>MID(B7,7,7)</f>
        <v>2343457</v>
      </c>
    </row>
  </sheetData>
  <phoneticPr fontId="1" type="noConversion"/>
  <hyperlinks>
    <hyperlink ref="A2" location="Home!A1" display="Home" xr:uid="{5D44A461-D413-4837-8918-46F32C5C1DDE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DE27-B52D-45AE-8E8E-976E960ADFD9}">
  <dimension ref="A1:O10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1" max="1" width="10.3984375" bestFit="1" customWidth="1"/>
    <col min="2" max="2" width="25.796875" customWidth="1"/>
    <col min="3" max="3" width="17.3984375" customWidth="1"/>
    <col min="4" max="4" width="17.8984375" customWidth="1"/>
    <col min="5" max="5" width="26.19921875" customWidth="1"/>
  </cols>
  <sheetData>
    <row r="1" spans="1:15" s="2" customFormat="1" ht="32.65" customHeight="1" thickBot="1" x14ac:dyDescent="0.35">
      <c r="A1" s="36">
        <v>42</v>
      </c>
      <c r="B1" s="1" t="s">
        <v>353</v>
      </c>
      <c r="C1" s="1" t="s">
        <v>354</v>
      </c>
    </row>
    <row r="2" spans="1:15" ht="19.5" thickBot="1" x14ac:dyDescent="0.35">
      <c r="A2" s="37" t="s">
        <v>2</v>
      </c>
      <c r="F2" t="s">
        <v>355</v>
      </c>
      <c r="H2" s="67" t="s">
        <v>356</v>
      </c>
      <c r="I2" s="67" t="s">
        <v>317</v>
      </c>
      <c r="J2" s="67" t="s">
        <v>319</v>
      </c>
      <c r="K2" s="67" t="s">
        <v>357</v>
      </c>
      <c r="L2" s="67" t="s">
        <v>84</v>
      </c>
      <c r="M2" s="67" t="s">
        <v>358</v>
      </c>
      <c r="N2" s="67" t="s">
        <v>359</v>
      </c>
      <c r="O2" s="67" t="s">
        <v>252</v>
      </c>
    </row>
    <row r="3" spans="1:15" x14ac:dyDescent="0.3">
      <c r="A3" s="37" t="s">
        <v>955</v>
      </c>
      <c r="B3" s="3" t="s">
        <v>348</v>
      </c>
      <c r="C3" s="4" t="s">
        <v>360</v>
      </c>
      <c r="D3" s="3"/>
      <c r="H3" s="68">
        <v>2</v>
      </c>
      <c r="I3" s="69" t="s">
        <v>361</v>
      </c>
      <c r="J3" s="69" t="s">
        <v>362</v>
      </c>
      <c r="K3" s="69" t="s">
        <v>363</v>
      </c>
      <c r="L3" s="69" t="s">
        <v>221</v>
      </c>
      <c r="M3" s="69" t="s">
        <v>364</v>
      </c>
      <c r="N3" s="70">
        <v>28126</v>
      </c>
      <c r="O3" s="71">
        <v>17500</v>
      </c>
    </row>
    <row r="4" spans="1:15" x14ac:dyDescent="0.3">
      <c r="B4" s="4" t="s">
        <v>349</v>
      </c>
      <c r="C4" s="4">
        <v>2343454</v>
      </c>
      <c r="D4" s="4"/>
      <c r="H4" s="68">
        <v>10</v>
      </c>
      <c r="I4" s="69" t="s">
        <v>365</v>
      </c>
      <c r="J4" s="69" t="s">
        <v>366</v>
      </c>
      <c r="K4" s="69" t="s">
        <v>367</v>
      </c>
      <c r="L4" s="69" t="s">
        <v>221</v>
      </c>
      <c r="M4" s="69" t="s">
        <v>368</v>
      </c>
      <c r="N4" s="70">
        <v>28326</v>
      </c>
      <c r="O4" s="71">
        <v>15750</v>
      </c>
    </row>
    <row r="5" spans="1:15" x14ac:dyDescent="0.3">
      <c r="B5" s="4" t="s">
        <v>350</v>
      </c>
      <c r="C5" s="4">
        <v>2343455</v>
      </c>
      <c r="D5" s="4"/>
      <c r="H5" s="68">
        <v>13</v>
      </c>
      <c r="I5" s="69" t="s">
        <v>369</v>
      </c>
      <c r="J5" s="69" t="s">
        <v>370</v>
      </c>
      <c r="K5" s="69" t="s">
        <v>371</v>
      </c>
      <c r="L5" s="69" t="s">
        <v>221</v>
      </c>
      <c r="M5" s="69" t="s">
        <v>372</v>
      </c>
      <c r="N5" s="70">
        <v>31027</v>
      </c>
      <c r="O5" s="71">
        <v>19250</v>
      </c>
    </row>
    <row r="6" spans="1:15" x14ac:dyDescent="0.3">
      <c r="B6" s="4" t="s">
        <v>351</v>
      </c>
      <c r="C6" s="4">
        <v>2343456</v>
      </c>
      <c r="D6" s="4"/>
      <c r="H6" s="68">
        <v>17</v>
      </c>
      <c r="I6" s="69" t="s">
        <v>373</v>
      </c>
      <c r="J6" s="69" t="s">
        <v>374</v>
      </c>
      <c r="K6" s="69" t="s">
        <v>375</v>
      </c>
      <c r="L6" s="69" t="s">
        <v>221</v>
      </c>
      <c r="M6" s="69" t="s">
        <v>364</v>
      </c>
      <c r="N6" s="70">
        <v>30376</v>
      </c>
      <c r="O6" s="71">
        <v>15750</v>
      </c>
    </row>
    <row r="7" spans="1:15" x14ac:dyDescent="0.3">
      <c r="B7" s="4" t="s">
        <v>352</v>
      </c>
      <c r="C7" s="4">
        <v>2343457</v>
      </c>
      <c r="D7" s="4"/>
      <c r="H7" s="68">
        <v>21</v>
      </c>
      <c r="I7" s="69" t="s">
        <v>376</v>
      </c>
      <c r="J7" s="69" t="s">
        <v>377</v>
      </c>
      <c r="K7" s="69" t="s">
        <v>367</v>
      </c>
      <c r="L7" s="69" t="s">
        <v>221</v>
      </c>
      <c r="M7" s="69" t="s">
        <v>378</v>
      </c>
      <c r="N7" s="70">
        <v>36317</v>
      </c>
      <c r="O7" s="71">
        <v>7875</v>
      </c>
    </row>
    <row r="8" spans="1:15" x14ac:dyDescent="0.3">
      <c r="H8" s="68">
        <v>26</v>
      </c>
      <c r="I8" s="69" t="s">
        <v>379</v>
      </c>
      <c r="J8" s="69" t="s">
        <v>380</v>
      </c>
      <c r="K8" s="69" t="s">
        <v>363</v>
      </c>
      <c r="L8" s="69" t="s">
        <v>221</v>
      </c>
      <c r="M8" s="69" t="s">
        <v>364</v>
      </c>
      <c r="N8" s="70">
        <v>30225</v>
      </c>
      <c r="O8" s="71">
        <v>19250</v>
      </c>
    </row>
    <row r="9" spans="1:15" x14ac:dyDescent="0.3">
      <c r="B9" s="3" t="s">
        <v>336</v>
      </c>
      <c r="C9" s="3" t="s">
        <v>381</v>
      </c>
      <c r="D9" s="3" t="s">
        <v>346</v>
      </c>
      <c r="H9" s="68">
        <v>30</v>
      </c>
      <c r="I9" s="69" t="s">
        <v>382</v>
      </c>
      <c r="J9" s="69" t="s">
        <v>383</v>
      </c>
      <c r="K9" s="69" t="s">
        <v>384</v>
      </c>
      <c r="L9" s="69" t="s">
        <v>221</v>
      </c>
      <c r="M9" s="69" t="s">
        <v>378</v>
      </c>
      <c r="N9" s="70">
        <v>32435</v>
      </c>
      <c r="O9" s="71">
        <v>14175</v>
      </c>
    </row>
    <row r="10" spans="1:15" x14ac:dyDescent="0.3">
      <c r="B10" s="4" t="s">
        <v>338</v>
      </c>
      <c r="C10" s="4" t="s">
        <v>385</v>
      </c>
      <c r="D10" s="4"/>
      <c r="H10" s="68">
        <v>41</v>
      </c>
      <c r="I10" s="69" t="s">
        <v>386</v>
      </c>
      <c r="J10" s="69" t="s">
        <v>387</v>
      </c>
      <c r="K10" s="69" t="s">
        <v>375</v>
      </c>
      <c r="L10" s="69" t="s">
        <v>221</v>
      </c>
      <c r="M10" s="69" t="s">
        <v>368</v>
      </c>
      <c r="N10" s="70">
        <v>35595</v>
      </c>
      <c r="O10" s="71">
        <v>7875</v>
      </c>
    </row>
    <row r="11" spans="1:15" x14ac:dyDescent="0.3">
      <c r="B11" s="4" t="s">
        <v>339</v>
      </c>
      <c r="C11" s="4" t="s">
        <v>388</v>
      </c>
      <c r="D11" s="4"/>
      <c r="H11" s="68">
        <v>42</v>
      </c>
      <c r="I11" s="69" t="s">
        <v>389</v>
      </c>
      <c r="J11" s="69" t="s">
        <v>390</v>
      </c>
      <c r="K11" s="69" t="s">
        <v>391</v>
      </c>
      <c r="L11" s="69" t="s">
        <v>221</v>
      </c>
      <c r="M11" s="69" t="s">
        <v>372</v>
      </c>
      <c r="N11" s="70">
        <v>33510</v>
      </c>
      <c r="O11" s="71">
        <v>13300</v>
      </c>
    </row>
    <row r="12" spans="1:15" x14ac:dyDescent="0.3">
      <c r="B12" s="4" t="s">
        <v>340</v>
      </c>
      <c r="C12" s="4" t="s">
        <v>392</v>
      </c>
      <c r="D12" s="4"/>
      <c r="H12" s="68">
        <v>44</v>
      </c>
      <c r="I12" s="69" t="s">
        <v>393</v>
      </c>
      <c r="J12" s="69" t="s">
        <v>394</v>
      </c>
      <c r="K12" s="69" t="s">
        <v>384</v>
      </c>
      <c r="L12" s="69" t="s">
        <v>221</v>
      </c>
      <c r="M12" s="69" t="s">
        <v>364</v>
      </c>
      <c r="N12" s="70">
        <v>33194</v>
      </c>
      <c r="O12" s="71">
        <v>13825</v>
      </c>
    </row>
    <row r="13" spans="1:15" x14ac:dyDescent="0.3">
      <c r="B13" s="4" t="s">
        <v>341</v>
      </c>
      <c r="C13" s="4" t="s">
        <v>388</v>
      </c>
      <c r="D13" s="4"/>
      <c r="H13" s="68">
        <v>54</v>
      </c>
      <c r="I13" s="69" t="s">
        <v>395</v>
      </c>
      <c r="J13" s="69" t="s">
        <v>396</v>
      </c>
      <c r="K13" s="69" t="s">
        <v>397</v>
      </c>
      <c r="L13" s="69" t="s">
        <v>221</v>
      </c>
      <c r="M13" s="69" t="s">
        <v>398</v>
      </c>
      <c r="N13" s="70">
        <v>34761</v>
      </c>
      <c r="O13" s="71">
        <v>15750</v>
      </c>
    </row>
    <row r="14" spans="1:15" x14ac:dyDescent="0.3">
      <c r="H14" s="68">
        <v>55</v>
      </c>
      <c r="I14" s="69" t="s">
        <v>399</v>
      </c>
      <c r="J14" s="69" t="s">
        <v>400</v>
      </c>
      <c r="K14" s="69" t="s">
        <v>397</v>
      </c>
      <c r="L14" s="69" t="s">
        <v>221</v>
      </c>
      <c r="M14" s="69" t="s">
        <v>401</v>
      </c>
      <c r="N14" s="70">
        <v>31717</v>
      </c>
      <c r="O14" s="71">
        <v>15750</v>
      </c>
    </row>
    <row r="15" spans="1:15" x14ac:dyDescent="0.3">
      <c r="H15" s="68">
        <v>65</v>
      </c>
      <c r="I15" s="69" t="s">
        <v>402</v>
      </c>
      <c r="J15" s="69" t="s">
        <v>403</v>
      </c>
      <c r="K15" s="69" t="s">
        <v>397</v>
      </c>
      <c r="L15" s="69" t="s">
        <v>221</v>
      </c>
      <c r="M15" s="69" t="s">
        <v>372</v>
      </c>
      <c r="N15" s="70">
        <v>32442</v>
      </c>
      <c r="O15" s="71">
        <v>17500</v>
      </c>
    </row>
    <row r="16" spans="1:15" x14ac:dyDescent="0.3">
      <c r="B16" s="3" t="s">
        <v>317</v>
      </c>
      <c r="C16" s="3" t="s">
        <v>318</v>
      </c>
      <c r="D16" s="3" t="s">
        <v>319</v>
      </c>
      <c r="E16" s="3" t="s">
        <v>320</v>
      </c>
      <c r="H16" s="68">
        <v>70</v>
      </c>
      <c r="I16" s="69" t="s">
        <v>404</v>
      </c>
      <c r="J16" s="69" t="s">
        <v>405</v>
      </c>
      <c r="K16" s="69" t="s">
        <v>367</v>
      </c>
      <c r="L16" s="69" t="s">
        <v>221</v>
      </c>
      <c r="M16" s="69" t="s">
        <v>372</v>
      </c>
      <c r="N16" s="70">
        <v>34762</v>
      </c>
      <c r="O16" s="71">
        <v>14000</v>
      </c>
    </row>
    <row r="17" spans="2:15" x14ac:dyDescent="0.3">
      <c r="B17" s="4" t="s">
        <v>321</v>
      </c>
      <c r="C17" s="4" t="s">
        <v>322</v>
      </c>
      <c r="D17" s="4" t="s">
        <v>323</v>
      </c>
      <c r="E17" s="4"/>
      <c r="H17" s="68">
        <v>74</v>
      </c>
      <c r="I17" s="69" t="s">
        <v>406</v>
      </c>
      <c r="J17" s="69" t="s">
        <v>407</v>
      </c>
      <c r="K17" s="69" t="s">
        <v>363</v>
      </c>
      <c r="L17" s="69" t="s">
        <v>221</v>
      </c>
      <c r="M17" s="69" t="s">
        <v>368</v>
      </c>
      <c r="N17" s="70">
        <v>32440</v>
      </c>
      <c r="O17" s="71">
        <v>17500</v>
      </c>
    </row>
    <row r="18" spans="2:15" x14ac:dyDescent="0.3">
      <c r="B18" s="4" t="s">
        <v>408</v>
      </c>
      <c r="C18" s="4"/>
      <c r="D18" s="4" t="s">
        <v>325</v>
      </c>
      <c r="E18" s="4"/>
      <c r="H18" s="68">
        <v>75</v>
      </c>
      <c r="I18" s="69" t="s">
        <v>409</v>
      </c>
      <c r="J18" s="69" t="s">
        <v>410</v>
      </c>
      <c r="K18" s="69" t="s">
        <v>375</v>
      </c>
      <c r="L18" s="69" t="s">
        <v>221</v>
      </c>
      <c r="M18" s="69" t="s">
        <v>372</v>
      </c>
      <c r="N18" s="70">
        <v>32441</v>
      </c>
      <c r="O18" s="71">
        <v>17500</v>
      </c>
    </row>
    <row r="19" spans="2:15" x14ac:dyDescent="0.3">
      <c r="B19" s="4" t="s">
        <v>411</v>
      </c>
      <c r="C19" s="4" t="s">
        <v>327</v>
      </c>
      <c r="D19" s="4" t="s">
        <v>322</v>
      </c>
      <c r="E19" s="4"/>
      <c r="H19" s="68">
        <v>82</v>
      </c>
      <c r="I19" s="69" t="s">
        <v>412</v>
      </c>
      <c r="J19" s="69" t="s">
        <v>413</v>
      </c>
      <c r="K19" s="69" t="s">
        <v>391</v>
      </c>
      <c r="L19" s="69" t="s">
        <v>221</v>
      </c>
      <c r="M19" s="69" t="s">
        <v>364</v>
      </c>
      <c r="N19" s="70">
        <v>32448</v>
      </c>
      <c r="O19" s="71">
        <v>17500</v>
      </c>
    </row>
    <row r="20" spans="2:15" x14ac:dyDescent="0.3">
      <c r="B20" s="4" t="s">
        <v>414</v>
      </c>
      <c r="C20" s="4" t="s">
        <v>329</v>
      </c>
      <c r="D20" s="4" t="s">
        <v>330</v>
      </c>
      <c r="E20" s="4"/>
      <c r="H20" s="68">
        <v>84</v>
      </c>
      <c r="I20" s="69" t="s">
        <v>415</v>
      </c>
      <c r="J20" s="69" t="s">
        <v>416</v>
      </c>
      <c r="K20" s="69" t="s">
        <v>391</v>
      </c>
      <c r="L20" s="69" t="s">
        <v>221</v>
      </c>
      <c r="M20" s="69" t="s">
        <v>372</v>
      </c>
      <c r="N20" s="70">
        <v>36222</v>
      </c>
      <c r="O20" s="71">
        <v>7000</v>
      </c>
    </row>
    <row r="21" spans="2:15" x14ac:dyDescent="0.3">
      <c r="B21" s="4" t="s">
        <v>331</v>
      </c>
      <c r="C21" s="4"/>
      <c r="D21" s="4" t="s">
        <v>332</v>
      </c>
      <c r="E21" s="4"/>
      <c r="H21" s="68">
        <v>91</v>
      </c>
      <c r="I21" s="69" t="s">
        <v>417</v>
      </c>
      <c r="J21" s="69" t="s">
        <v>418</v>
      </c>
      <c r="K21" s="69" t="s">
        <v>363</v>
      </c>
      <c r="L21" s="69" t="s">
        <v>221</v>
      </c>
      <c r="M21" s="69" t="s">
        <v>372</v>
      </c>
      <c r="N21" s="70">
        <v>29172</v>
      </c>
      <c r="O21" s="71">
        <v>22750</v>
      </c>
    </row>
    <row r="22" spans="2:15" x14ac:dyDescent="0.3">
      <c r="H22" s="68">
        <v>92</v>
      </c>
      <c r="I22" s="69" t="s">
        <v>201</v>
      </c>
      <c r="J22" s="69" t="s">
        <v>419</v>
      </c>
      <c r="K22" s="69" t="s">
        <v>367</v>
      </c>
      <c r="L22" s="69" t="s">
        <v>221</v>
      </c>
      <c r="M22" s="69" t="s">
        <v>398</v>
      </c>
      <c r="N22" s="70">
        <v>32603</v>
      </c>
      <c r="O22" s="71">
        <v>17325</v>
      </c>
    </row>
    <row r="23" spans="2:15" x14ac:dyDescent="0.3">
      <c r="B23" s="3" t="s">
        <v>83</v>
      </c>
      <c r="C23" s="3" t="s">
        <v>83</v>
      </c>
      <c r="H23" s="68">
        <v>1</v>
      </c>
      <c r="I23" s="69" t="s">
        <v>420</v>
      </c>
      <c r="J23" s="69" t="s">
        <v>421</v>
      </c>
      <c r="K23" s="69" t="s">
        <v>363</v>
      </c>
      <c r="L23" s="69" t="s">
        <v>422</v>
      </c>
      <c r="M23" s="69" t="s">
        <v>423</v>
      </c>
      <c r="N23" s="70">
        <v>28126</v>
      </c>
      <c r="O23" s="71">
        <v>21875</v>
      </c>
    </row>
    <row r="24" spans="2:15" x14ac:dyDescent="0.3">
      <c r="B24" s="4" t="s">
        <v>424</v>
      </c>
      <c r="C24" s="4"/>
      <c r="H24" s="68">
        <v>4</v>
      </c>
      <c r="I24" s="69" t="s">
        <v>425</v>
      </c>
      <c r="J24" s="69" t="s">
        <v>426</v>
      </c>
      <c r="K24" s="69" t="s">
        <v>367</v>
      </c>
      <c r="L24" s="69" t="s">
        <v>422</v>
      </c>
      <c r="M24" s="69" t="s">
        <v>385</v>
      </c>
      <c r="N24" s="70">
        <v>29183</v>
      </c>
      <c r="O24" s="71">
        <v>12250</v>
      </c>
    </row>
    <row r="25" spans="2:15" x14ac:dyDescent="0.3">
      <c r="B25" s="4" t="s">
        <v>109</v>
      </c>
      <c r="C25" s="4"/>
      <c r="H25" s="68">
        <v>5</v>
      </c>
      <c r="I25" s="69" t="s">
        <v>427</v>
      </c>
      <c r="J25" s="69" t="s">
        <v>428</v>
      </c>
      <c r="K25" s="69" t="s">
        <v>391</v>
      </c>
      <c r="L25" s="69" t="s">
        <v>422</v>
      </c>
      <c r="M25" s="69" t="s">
        <v>429</v>
      </c>
      <c r="N25" s="70">
        <v>32755</v>
      </c>
      <c r="O25" s="71">
        <v>21000</v>
      </c>
    </row>
    <row r="26" spans="2:15" x14ac:dyDescent="0.3">
      <c r="B26" s="4" t="s">
        <v>111</v>
      </c>
      <c r="C26" s="4"/>
      <c r="H26" s="68">
        <v>6</v>
      </c>
      <c r="I26" s="69" t="s">
        <v>430</v>
      </c>
      <c r="J26" s="69" t="s">
        <v>431</v>
      </c>
      <c r="K26" s="69" t="s">
        <v>391</v>
      </c>
      <c r="L26" s="69" t="s">
        <v>422</v>
      </c>
      <c r="M26" s="69" t="s">
        <v>432</v>
      </c>
      <c r="N26" s="70">
        <v>32390</v>
      </c>
      <c r="O26" s="71">
        <v>12425</v>
      </c>
    </row>
    <row r="27" spans="2:15" x14ac:dyDescent="0.3">
      <c r="B27" s="4" t="s">
        <v>433</v>
      </c>
      <c r="C27" s="4"/>
      <c r="H27" s="68">
        <v>8</v>
      </c>
      <c r="I27" s="69" t="s">
        <v>434</v>
      </c>
      <c r="J27" s="69" t="s">
        <v>435</v>
      </c>
      <c r="K27" s="69" t="s">
        <v>391</v>
      </c>
      <c r="L27" s="69" t="s">
        <v>422</v>
      </c>
      <c r="M27" s="69" t="s">
        <v>436</v>
      </c>
      <c r="N27" s="70">
        <v>32755</v>
      </c>
      <c r="O27" s="71">
        <v>12425</v>
      </c>
    </row>
    <row r="28" spans="2:15" x14ac:dyDescent="0.3">
      <c r="H28" s="68">
        <v>9</v>
      </c>
      <c r="I28" s="69" t="s">
        <v>437</v>
      </c>
      <c r="J28" s="69" t="s">
        <v>438</v>
      </c>
      <c r="K28" s="69" t="s">
        <v>363</v>
      </c>
      <c r="L28" s="69" t="s">
        <v>422</v>
      </c>
      <c r="M28" s="69" t="s">
        <v>439</v>
      </c>
      <c r="N28" s="70">
        <v>36506</v>
      </c>
      <c r="O28" s="71">
        <v>14875</v>
      </c>
    </row>
    <row r="29" spans="2:15" x14ac:dyDescent="0.3">
      <c r="H29" s="68">
        <v>12</v>
      </c>
      <c r="I29" s="69" t="s">
        <v>440</v>
      </c>
      <c r="J29" s="69" t="s">
        <v>441</v>
      </c>
      <c r="K29" s="69" t="s">
        <v>375</v>
      </c>
      <c r="L29" s="69" t="s">
        <v>422</v>
      </c>
      <c r="M29" s="69" t="s">
        <v>442</v>
      </c>
      <c r="N29" s="70">
        <v>30376</v>
      </c>
      <c r="O29" s="71">
        <v>21000</v>
      </c>
    </row>
    <row r="30" spans="2:15" x14ac:dyDescent="0.3">
      <c r="H30" s="68">
        <v>15</v>
      </c>
      <c r="I30" s="69" t="s">
        <v>443</v>
      </c>
      <c r="J30" s="69" t="s">
        <v>444</v>
      </c>
      <c r="K30" s="69" t="s">
        <v>384</v>
      </c>
      <c r="L30" s="69" t="s">
        <v>422</v>
      </c>
      <c r="M30" s="69" t="s">
        <v>442</v>
      </c>
      <c r="N30" s="70">
        <v>31029</v>
      </c>
      <c r="O30" s="71">
        <v>14875</v>
      </c>
    </row>
    <row r="31" spans="2:15" x14ac:dyDescent="0.3">
      <c r="H31" s="68">
        <v>16</v>
      </c>
      <c r="I31" s="69" t="s">
        <v>445</v>
      </c>
      <c r="J31" s="69" t="s">
        <v>446</v>
      </c>
      <c r="K31" s="69" t="s">
        <v>384</v>
      </c>
      <c r="L31" s="69" t="s">
        <v>422</v>
      </c>
      <c r="M31" s="69" t="s">
        <v>447</v>
      </c>
      <c r="N31" s="70">
        <v>31030</v>
      </c>
      <c r="O31" s="71">
        <v>14875</v>
      </c>
    </row>
    <row r="32" spans="2:15" x14ac:dyDescent="0.3">
      <c r="H32" s="68">
        <v>19</v>
      </c>
      <c r="I32" s="69" t="s">
        <v>448</v>
      </c>
      <c r="J32" s="69" t="s">
        <v>449</v>
      </c>
      <c r="K32" s="69" t="s">
        <v>367</v>
      </c>
      <c r="L32" s="69" t="s">
        <v>422</v>
      </c>
      <c r="M32" s="69" t="s">
        <v>432</v>
      </c>
      <c r="N32" s="70">
        <v>31637</v>
      </c>
      <c r="O32" s="71">
        <v>10500</v>
      </c>
    </row>
    <row r="33" spans="8:15" x14ac:dyDescent="0.3">
      <c r="H33" s="68">
        <v>20</v>
      </c>
      <c r="I33" s="69" t="s">
        <v>450</v>
      </c>
      <c r="J33" s="69" t="s">
        <v>451</v>
      </c>
      <c r="K33" s="69" t="s">
        <v>367</v>
      </c>
      <c r="L33" s="69" t="s">
        <v>422</v>
      </c>
      <c r="M33" s="69" t="s">
        <v>447</v>
      </c>
      <c r="N33" s="70">
        <v>36316</v>
      </c>
      <c r="O33" s="71">
        <v>5950</v>
      </c>
    </row>
    <row r="34" spans="8:15" x14ac:dyDescent="0.3">
      <c r="H34" s="68">
        <v>29</v>
      </c>
      <c r="I34" s="69" t="s">
        <v>452</v>
      </c>
      <c r="J34" s="69" t="s">
        <v>453</v>
      </c>
      <c r="K34" s="69" t="s">
        <v>375</v>
      </c>
      <c r="L34" s="69" t="s">
        <v>422</v>
      </c>
      <c r="M34" s="69" t="s">
        <v>447</v>
      </c>
      <c r="N34" s="70">
        <v>35189</v>
      </c>
      <c r="O34" s="71">
        <v>9625</v>
      </c>
    </row>
    <row r="35" spans="8:15" x14ac:dyDescent="0.3">
      <c r="H35" s="68">
        <v>31</v>
      </c>
      <c r="I35" s="69" t="s">
        <v>454</v>
      </c>
      <c r="J35" s="69" t="s">
        <v>455</v>
      </c>
      <c r="K35" s="69" t="s">
        <v>391</v>
      </c>
      <c r="L35" s="69" t="s">
        <v>422</v>
      </c>
      <c r="M35" s="69" t="s">
        <v>436</v>
      </c>
      <c r="N35" s="70">
        <v>30225</v>
      </c>
      <c r="O35" s="71">
        <v>15750</v>
      </c>
    </row>
    <row r="36" spans="8:15" x14ac:dyDescent="0.3">
      <c r="H36" s="68">
        <v>33</v>
      </c>
      <c r="I36" s="69" t="s">
        <v>456</v>
      </c>
      <c r="J36" s="69" t="s">
        <v>457</v>
      </c>
      <c r="K36" s="69" t="s">
        <v>397</v>
      </c>
      <c r="L36" s="69" t="s">
        <v>422</v>
      </c>
      <c r="M36" s="69" t="s">
        <v>439</v>
      </c>
      <c r="N36" s="70">
        <v>35618</v>
      </c>
      <c r="O36" s="71">
        <v>7000</v>
      </c>
    </row>
    <row r="37" spans="8:15" x14ac:dyDescent="0.3">
      <c r="H37" s="68">
        <v>34</v>
      </c>
      <c r="I37" s="69" t="s">
        <v>458</v>
      </c>
      <c r="J37" s="69" t="s">
        <v>459</v>
      </c>
      <c r="K37" s="69" t="s">
        <v>397</v>
      </c>
      <c r="L37" s="69" t="s">
        <v>422</v>
      </c>
      <c r="M37" s="69" t="s">
        <v>460</v>
      </c>
      <c r="N37" s="70">
        <v>33510</v>
      </c>
      <c r="O37" s="71">
        <v>8750</v>
      </c>
    </row>
    <row r="38" spans="8:15" x14ac:dyDescent="0.3">
      <c r="H38" s="68">
        <v>38</v>
      </c>
      <c r="I38" s="69" t="s">
        <v>461</v>
      </c>
      <c r="J38" s="69" t="s">
        <v>462</v>
      </c>
      <c r="K38" s="69" t="s">
        <v>371</v>
      </c>
      <c r="L38" s="69" t="s">
        <v>422</v>
      </c>
      <c r="M38" s="69" t="s">
        <v>463</v>
      </c>
      <c r="N38" s="70">
        <v>30225</v>
      </c>
      <c r="O38" s="71">
        <v>24500</v>
      </c>
    </row>
    <row r="39" spans="8:15" x14ac:dyDescent="0.3">
      <c r="H39" s="68">
        <v>39</v>
      </c>
      <c r="I39" s="69" t="s">
        <v>464</v>
      </c>
      <c r="J39" s="69" t="s">
        <v>465</v>
      </c>
      <c r="K39" s="69" t="s">
        <v>371</v>
      </c>
      <c r="L39" s="69" t="s">
        <v>422</v>
      </c>
      <c r="M39" s="69" t="s">
        <v>466</v>
      </c>
      <c r="N39" s="70">
        <v>30225</v>
      </c>
      <c r="O39" s="71">
        <v>24500</v>
      </c>
    </row>
    <row r="40" spans="8:15" x14ac:dyDescent="0.3">
      <c r="H40" s="68">
        <v>45</v>
      </c>
      <c r="I40" s="69" t="s">
        <v>467</v>
      </c>
      <c r="J40" s="69" t="s">
        <v>468</v>
      </c>
      <c r="K40" s="69" t="s">
        <v>391</v>
      </c>
      <c r="L40" s="69" t="s">
        <v>422</v>
      </c>
      <c r="M40" s="69" t="s">
        <v>423</v>
      </c>
      <c r="N40" s="70">
        <v>35618</v>
      </c>
      <c r="O40" s="71">
        <v>11375</v>
      </c>
    </row>
    <row r="41" spans="8:15" x14ac:dyDescent="0.3">
      <c r="H41" s="68">
        <v>46</v>
      </c>
      <c r="I41" s="69" t="s">
        <v>469</v>
      </c>
      <c r="J41" s="69" t="s">
        <v>470</v>
      </c>
      <c r="K41" s="69" t="s">
        <v>363</v>
      </c>
      <c r="L41" s="69" t="s">
        <v>422</v>
      </c>
      <c r="M41" s="69" t="s">
        <v>460</v>
      </c>
      <c r="N41" s="70">
        <v>33510</v>
      </c>
      <c r="O41" s="71">
        <v>15750</v>
      </c>
    </row>
    <row r="42" spans="8:15" x14ac:dyDescent="0.3">
      <c r="H42" s="68">
        <v>47</v>
      </c>
      <c r="I42" s="69" t="s">
        <v>471</v>
      </c>
      <c r="J42" s="69" t="s">
        <v>472</v>
      </c>
      <c r="K42" s="69" t="s">
        <v>375</v>
      </c>
      <c r="L42" s="69" t="s">
        <v>422</v>
      </c>
      <c r="M42" s="69" t="s">
        <v>429</v>
      </c>
      <c r="N42" s="70">
        <v>32180</v>
      </c>
      <c r="O42" s="71">
        <v>15750</v>
      </c>
    </row>
    <row r="43" spans="8:15" x14ac:dyDescent="0.3">
      <c r="H43" s="68">
        <v>51</v>
      </c>
      <c r="I43" s="69" t="s">
        <v>473</v>
      </c>
      <c r="J43" s="69" t="s">
        <v>474</v>
      </c>
      <c r="K43" s="69" t="s">
        <v>363</v>
      </c>
      <c r="L43" s="69" t="s">
        <v>422</v>
      </c>
      <c r="M43" s="69" t="s">
        <v>442</v>
      </c>
      <c r="N43" s="70">
        <v>32436</v>
      </c>
      <c r="O43" s="71">
        <v>15750</v>
      </c>
    </row>
    <row r="44" spans="8:15" x14ac:dyDescent="0.3">
      <c r="H44" s="68">
        <v>52</v>
      </c>
      <c r="I44" s="69" t="s">
        <v>475</v>
      </c>
      <c r="J44" s="69" t="s">
        <v>476</v>
      </c>
      <c r="K44" s="69" t="s">
        <v>397</v>
      </c>
      <c r="L44" s="69" t="s">
        <v>422</v>
      </c>
      <c r="M44" s="69" t="s">
        <v>460</v>
      </c>
      <c r="N44" s="70">
        <v>32437</v>
      </c>
      <c r="O44" s="71">
        <v>19250</v>
      </c>
    </row>
    <row r="45" spans="8:15" x14ac:dyDescent="0.3">
      <c r="H45" s="68">
        <v>58</v>
      </c>
      <c r="I45" s="69" t="s">
        <v>477</v>
      </c>
      <c r="J45" s="69" t="s">
        <v>478</v>
      </c>
      <c r="K45" s="69" t="s">
        <v>367</v>
      </c>
      <c r="L45" s="69" t="s">
        <v>422</v>
      </c>
      <c r="M45" s="69" t="s">
        <v>436</v>
      </c>
      <c r="N45" s="70">
        <v>33182</v>
      </c>
      <c r="O45" s="71">
        <v>17500</v>
      </c>
    </row>
    <row r="46" spans="8:15" x14ac:dyDescent="0.3">
      <c r="H46" s="68">
        <v>61</v>
      </c>
      <c r="I46" s="69" t="s">
        <v>479</v>
      </c>
      <c r="J46" s="69" t="s">
        <v>480</v>
      </c>
      <c r="K46" s="69" t="s">
        <v>375</v>
      </c>
      <c r="L46" s="69" t="s">
        <v>422</v>
      </c>
      <c r="M46" s="69" t="s">
        <v>436</v>
      </c>
      <c r="N46" s="70">
        <v>32106</v>
      </c>
      <c r="O46" s="71">
        <v>19250</v>
      </c>
    </row>
    <row r="47" spans="8:15" x14ac:dyDescent="0.3">
      <c r="H47" s="68">
        <v>62</v>
      </c>
      <c r="I47" s="69" t="s">
        <v>481</v>
      </c>
      <c r="J47" s="69" t="s">
        <v>374</v>
      </c>
      <c r="K47" s="69" t="s">
        <v>363</v>
      </c>
      <c r="L47" s="69" t="s">
        <v>422</v>
      </c>
      <c r="M47" s="69" t="s">
        <v>429</v>
      </c>
      <c r="N47" s="70">
        <v>32107</v>
      </c>
      <c r="O47" s="71">
        <v>19251</v>
      </c>
    </row>
    <row r="48" spans="8:15" x14ac:dyDescent="0.3">
      <c r="H48" s="68">
        <v>63</v>
      </c>
      <c r="I48" s="69" t="s">
        <v>482</v>
      </c>
      <c r="J48" s="69" t="s">
        <v>483</v>
      </c>
      <c r="K48" s="69" t="s">
        <v>391</v>
      </c>
      <c r="L48" s="69" t="s">
        <v>422</v>
      </c>
      <c r="M48" s="69" t="s">
        <v>442</v>
      </c>
      <c r="N48" s="70">
        <v>32440</v>
      </c>
      <c r="O48" s="71">
        <v>17500</v>
      </c>
    </row>
    <row r="49" spans="8:15" x14ac:dyDescent="0.3">
      <c r="H49" s="68">
        <v>66</v>
      </c>
      <c r="I49" s="69" t="s">
        <v>484</v>
      </c>
      <c r="J49" s="69" t="s">
        <v>485</v>
      </c>
      <c r="K49" s="69" t="s">
        <v>384</v>
      </c>
      <c r="L49" s="69" t="s">
        <v>422</v>
      </c>
      <c r="M49" s="69" t="s">
        <v>436</v>
      </c>
      <c r="N49" s="70">
        <v>32443</v>
      </c>
      <c r="O49" s="71">
        <v>17500</v>
      </c>
    </row>
    <row r="50" spans="8:15" x14ac:dyDescent="0.3">
      <c r="H50" s="68">
        <v>67</v>
      </c>
      <c r="I50" s="69" t="s">
        <v>486</v>
      </c>
      <c r="J50" s="69" t="s">
        <v>405</v>
      </c>
      <c r="K50" s="69" t="s">
        <v>384</v>
      </c>
      <c r="L50" s="69" t="s">
        <v>422</v>
      </c>
      <c r="M50" s="69" t="s">
        <v>460</v>
      </c>
      <c r="N50" s="70">
        <v>32444</v>
      </c>
      <c r="O50" s="71">
        <v>20125</v>
      </c>
    </row>
    <row r="51" spans="8:15" x14ac:dyDescent="0.3">
      <c r="H51" s="68">
        <v>68</v>
      </c>
      <c r="I51" s="69" t="s">
        <v>487</v>
      </c>
      <c r="J51" s="69" t="s">
        <v>403</v>
      </c>
      <c r="K51" s="69" t="s">
        <v>363</v>
      </c>
      <c r="L51" s="69" t="s">
        <v>422</v>
      </c>
      <c r="M51" s="69" t="s">
        <v>466</v>
      </c>
      <c r="N51" s="70">
        <v>35034</v>
      </c>
      <c r="O51" s="71">
        <v>14000</v>
      </c>
    </row>
    <row r="52" spans="8:15" x14ac:dyDescent="0.3">
      <c r="H52" s="68">
        <v>69</v>
      </c>
      <c r="I52" s="69" t="s">
        <v>488</v>
      </c>
      <c r="J52" s="69" t="s">
        <v>472</v>
      </c>
      <c r="K52" s="69" t="s">
        <v>384</v>
      </c>
      <c r="L52" s="69" t="s">
        <v>422</v>
      </c>
      <c r="M52" s="69" t="s">
        <v>466</v>
      </c>
      <c r="N52" s="70">
        <v>34761</v>
      </c>
      <c r="O52" s="71">
        <v>14000</v>
      </c>
    </row>
    <row r="53" spans="8:15" x14ac:dyDescent="0.3">
      <c r="H53" s="68">
        <v>73</v>
      </c>
      <c r="I53" s="69" t="s">
        <v>489</v>
      </c>
      <c r="J53" s="69" t="s">
        <v>490</v>
      </c>
      <c r="K53" s="69" t="s">
        <v>397</v>
      </c>
      <c r="L53" s="69" t="s">
        <v>422</v>
      </c>
      <c r="M53" s="69" t="s">
        <v>447</v>
      </c>
      <c r="N53" s="70">
        <v>32439</v>
      </c>
      <c r="O53" s="71">
        <v>17500</v>
      </c>
    </row>
    <row r="54" spans="8:15" x14ac:dyDescent="0.3">
      <c r="H54" s="68">
        <v>77</v>
      </c>
      <c r="I54" s="69" t="s">
        <v>491</v>
      </c>
      <c r="J54" s="69" t="s">
        <v>485</v>
      </c>
      <c r="K54" s="69" t="s">
        <v>391</v>
      </c>
      <c r="L54" s="69" t="s">
        <v>422</v>
      </c>
      <c r="M54" s="69" t="s">
        <v>385</v>
      </c>
      <c r="N54" s="70">
        <v>32443</v>
      </c>
      <c r="O54" s="71">
        <v>17500</v>
      </c>
    </row>
    <row r="55" spans="8:15" x14ac:dyDescent="0.3">
      <c r="H55" s="68">
        <v>79</v>
      </c>
      <c r="I55" s="69" t="s">
        <v>492</v>
      </c>
      <c r="J55" s="69" t="s">
        <v>493</v>
      </c>
      <c r="K55" s="69" t="s">
        <v>367</v>
      </c>
      <c r="L55" s="69" t="s">
        <v>422</v>
      </c>
      <c r="M55" s="69" t="s">
        <v>385</v>
      </c>
      <c r="N55" s="70">
        <v>32445</v>
      </c>
      <c r="O55" s="71">
        <v>17500</v>
      </c>
    </row>
    <row r="56" spans="8:15" x14ac:dyDescent="0.3">
      <c r="H56" s="68">
        <v>80</v>
      </c>
      <c r="I56" s="69" t="s">
        <v>494</v>
      </c>
      <c r="J56" s="69" t="s">
        <v>495</v>
      </c>
      <c r="K56" s="69" t="s">
        <v>367</v>
      </c>
      <c r="L56" s="69" t="s">
        <v>422</v>
      </c>
      <c r="M56" s="69" t="s">
        <v>423</v>
      </c>
      <c r="N56" s="70">
        <v>32446</v>
      </c>
      <c r="O56" s="71">
        <v>17500</v>
      </c>
    </row>
    <row r="57" spans="8:15" x14ac:dyDescent="0.3">
      <c r="H57" s="68">
        <v>83</v>
      </c>
      <c r="I57" s="69" t="s">
        <v>496</v>
      </c>
      <c r="J57" s="69" t="s">
        <v>485</v>
      </c>
      <c r="K57" s="69" t="s">
        <v>397</v>
      </c>
      <c r="L57" s="69" t="s">
        <v>422</v>
      </c>
      <c r="M57" s="69" t="s">
        <v>463</v>
      </c>
      <c r="N57" s="70">
        <v>36221</v>
      </c>
      <c r="O57" s="71">
        <v>7000</v>
      </c>
    </row>
    <row r="58" spans="8:15" x14ac:dyDescent="0.3">
      <c r="H58" s="68">
        <v>85</v>
      </c>
      <c r="I58" s="69" t="s">
        <v>497</v>
      </c>
      <c r="J58" s="69" t="s">
        <v>498</v>
      </c>
      <c r="K58" s="69" t="s">
        <v>391</v>
      </c>
      <c r="L58" s="69" t="s">
        <v>422</v>
      </c>
      <c r="M58" s="69" t="s">
        <v>436</v>
      </c>
      <c r="N58" s="70">
        <v>35809</v>
      </c>
      <c r="O58" s="71">
        <v>7000</v>
      </c>
    </row>
    <row r="59" spans="8:15" x14ac:dyDescent="0.3">
      <c r="H59" s="68">
        <v>86</v>
      </c>
      <c r="I59" s="69" t="s">
        <v>499</v>
      </c>
      <c r="J59" s="69" t="s">
        <v>377</v>
      </c>
      <c r="K59" s="69" t="s">
        <v>397</v>
      </c>
      <c r="L59" s="69" t="s">
        <v>422</v>
      </c>
      <c r="M59" s="69" t="s">
        <v>442</v>
      </c>
      <c r="N59" s="70">
        <v>35810</v>
      </c>
      <c r="O59" s="71">
        <v>17500</v>
      </c>
    </row>
    <row r="60" spans="8:15" x14ac:dyDescent="0.3">
      <c r="H60" s="68">
        <v>89</v>
      </c>
      <c r="I60" s="69" t="s">
        <v>500</v>
      </c>
      <c r="J60" s="69" t="s">
        <v>501</v>
      </c>
      <c r="K60" s="69" t="s">
        <v>363</v>
      </c>
      <c r="L60" s="69" t="s">
        <v>422</v>
      </c>
      <c r="M60" s="69" t="s">
        <v>463</v>
      </c>
      <c r="N60" s="70">
        <v>28907</v>
      </c>
      <c r="O60" s="71">
        <v>22750</v>
      </c>
    </row>
    <row r="61" spans="8:15" x14ac:dyDescent="0.3">
      <c r="H61" s="68">
        <v>90</v>
      </c>
      <c r="I61" s="69" t="s">
        <v>502</v>
      </c>
      <c r="J61" s="69" t="s">
        <v>468</v>
      </c>
      <c r="K61" s="69" t="s">
        <v>391</v>
      </c>
      <c r="L61" s="69" t="s">
        <v>422</v>
      </c>
      <c r="M61" s="69" t="s">
        <v>447</v>
      </c>
      <c r="N61" s="70">
        <v>29226</v>
      </c>
      <c r="O61" s="71">
        <v>22750</v>
      </c>
    </row>
    <row r="62" spans="8:15" x14ac:dyDescent="0.3">
      <c r="H62" s="68">
        <v>98</v>
      </c>
      <c r="I62" s="69" t="s">
        <v>503</v>
      </c>
      <c r="J62" s="69" t="s">
        <v>504</v>
      </c>
      <c r="K62" s="69" t="s">
        <v>397</v>
      </c>
      <c r="L62" s="69" t="s">
        <v>422</v>
      </c>
      <c r="M62" s="69" t="s">
        <v>385</v>
      </c>
      <c r="N62" s="70">
        <v>32609</v>
      </c>
      <c r="O62" s="71">
        <v>17325</v>
      </c>
    </row>
    <row r="63" spans="8:15" x14ac:dyDescent="0.3">
      <c r="H63" s="68">
        <v>3</v>
      </c>
      <c r="I63" s="69" t="s">
        <v>505</v>
      </c>
      <c r="J63" s="69" t="s">
        <v>325</v>
      </c>
      <c r="K63" s="69" t="s">
        <v>375</v>
      </c>
      <c r="L63" s="69" t="s">
        <v>506</v>
      </c>
      <c r="M63" s="69" t="s">
        <v>507</v>
      </c>
      <c r="N63" s="70">
        <v>36220</v>
      </c>
      <c r="O63" s="71">
        <v>7000</v>
      </c>
    </row>
    <row r="64" spans="8:15" x14ac:dyDescent="0.3">
      <c r="H64" s="68">
        <v>14</v>
      </c>
      <c r="I64" s="69" t="s">
        <v>464</v>
      </c>
      <c r="J64" s="69" t="s">
        <v>403</v>
      </c>
      <c r="K64" s="69" t="s">
        <v>508</v>
      </c>
      <c r="L64" s="69" t="s">
        <v>506</v>
      </c>
      <c r="M64" s="69" t="s">
        <v>509</v>
      </c>
      <c r="N64" s="70">
        <v>31028</v>
      </c>
      <c r="O64" s="71">
        <v>49000</v>
      </c>
    </row>
    <row r="65" spans="8:15" x14ac:dyDescent="0.3">
      <c r="H65" s="68">
        <v>25</v>
      </c>
      <c r="I65" s="69" t="s">
        <v>510</v>
      </c>
      <c r="J65" s="69" t="s">
        <v>511</v>
      </c>
      <c r="K65" s="69" t="s">
        <v>391</v>
      </c>
      <c r="L65" s="69" t="s">
        <v>506</v>
      </c>
      <c r="M65" s="69" t="s">
        <v>512</v>
      </c>
      <c r="N65" s="70">
        <v>36274</v>
      </c>
      <c r="O65" s="71">
        <v>7875</v>
      </c>
    </row>
    <row r="66" spans="8:15" x14ac:dyDescent="0.3">
      <c r="H66" s="68">
        <v>27</v>
      </c>
      <c r="I66" s="69" t="s">
        <v>513</v>
      </c>
      <c r="J66" s="69" t="s">
        <v>514</v>
      </c>
      <c r="K66" s="69" t="s">
        <v>363</v>
      </c>
      <c r="L66" s="69" t="s">
        <v>506</v>
      </c>
      <c r="M66" s="69" t="s">
        <v>515</v>
      </c>
      <c r="N66" s="70">
        <v>33787</v>
      </c>
      <c r="O66" s="71">
        <v>13125</v>
      </c>
    </row>
    <row r="67" spans="8:15" x14ac:dyDescent="0.3">
      <c r="H67" s="68">
        <v>32</v>
      </c>
      <c r="I67" s="69" t="s">
        <v>516</v>
      </c>
      <c r="J67" s="69" t="s">
        <v>472</v>
      </c>
      <c r="K67" s="69" t="s">
        <v>397</v>
      </c>
      <c r="L67" s="69" t="s">
        <v>506</v>
      </c>
      <c r="M67" s="69" t="s">
        <v>512</v>
      </c>
      <c r="N67" s="70">
        <v>30225</v>
      </c>
      <c r="O67" s="71">
        <v>15750</v>
      </c>
    </row>
    <row r="68" spans="8:15" x14ac:dyDescent="0.3">
      <c r="H68" s="68">
        <v>35</v>
      </c>
      <c r="I68" s="69" t="s">
        <v>517</v>
      </c>
      <c r="J68" s="69" t="s">
        <v>472</v>
      </c>
      <c r="K68" s="69" t="s">
        <v>367</v>
      </c>
      <c r="L68" s="69" t="s">
        <v>506</v>
      </c>
      <c r="M68" s="69" t="s">
        <v>512</v>
      </c>
      <c r="N68" s="70">
        <v>33729</v>
      </c>
      <c r="O68" s="71">
        <v>9275</v>
      </c>
    </row>
    <row r="69" spans="8:15" x14ac:dyDescent="0.3">
      <c r="H69" s="68">
        <v>37</v>
      </c>
      <c r="I69" s="69" t="s">
        <v>440</v>
      </c>
      <c r="J69" s="69" t="s">
        <v>518</v>
      </c>
      <c r="K69" s="69" t="s">
        <v>371</v>
      </c>
      <c r="L69" s="69" t="s">
        <v>506</v>
      </c>
      <c r="M69" s="69" t="s">
        <v>519</v>
      </c>
      <c r="N69" s="70">
        <v>30225</v>
      </c>
      <c r="O69" s="71">
        <v>24500</v>
      </c>
    </row>
    <row r="70" spans="8:15" x14ac:dyDescent="0.3">
      <c r="H70" s="68">
        <v>40</v>
      </c>
      <c r="I70" s="69" t="s">
        <v>520</v>
      </c>
      <c r="J70" s="69" t="s">
        <v>521</v>
      </c>
      <c r="K70" s="69" t="s">
        <v>363</v>
      </c>
      <c r="L70" s="69" t="s">
        <v>506</v>
      </c>
      <c r="M70" s="69" t="s">
        <v>512</v>
      </c>
      <c r="N70" s="70">
        <v>33510</v>
      </c>
      <c r="O70" s="71">
        <v>10500</v>
      </c>
    </row>
    <row r="71" spans="8:15" x14ac:dyDescent="0.3">
      <c r="H71" s="68">
        <v>49</v>
      </c>
      <c r="I71" s="69" t="s">
        <v>522</v>
      </c>
      <c r="J71" s="69" t="s">
        <v>523</v>
      </c>
      <c r="K71" s="69" t="s">
        <v>397</v>
      </c>
      <c r="L71" s="69" t="s">
        <v>506</v>
      </c>
      <c r="M71" s="69" t="s">
        <v>509</v>
      </c>
      <c r="N71" s="70">
        <v>32435</v>
      </c>
      <c r="O71" s="71">
        <v>15750</v>
      </c>
    </row>
    <row r="72" spans="8:15" x14ac:dyDescent="0.3">
      <c r="H72" s="68">
        <v>57</v>
      </c>
      <c r="I72" s="69" t="s">
        <v>524</v>
      </c>
      <c r="J72" s="69" t="s">
        <v>525</v>
      </c>
      <c r="K72" s="69" t="s">
        <v>363</v>
      </c>
      <c r="L72" s="69" t="s">
        <v>506</v>
      </c>
      <c r="M72" s="69" t="s">
        <v>526</v>
      </c>
      <c r="N72" s="70">
        <v>34098</v>
      </c>
      <c r="O72" s="71">
        <v>14875</v>
      </c>
    </row>
    <row r="73" spans="8:15" x14ac:dyDescent="0.3">
      <c r="H73" s="68">
        <v>59</v>
      </c>
      <c r="I73" s="69" t="s">
        <v>527</v>
      </c>
      <c r="J73" s="69" t="s">
        <v>528</v>
      </c>
      <c r="K73" s="69" t="s">
        <v>375</v>
      </c>
      <c r="L73" s="69" t="s">
        <v>506</v>
      </c>
      <c r="M73" s="69" t="s">
        <v>515</v>
      </c>
      <c r="N73" s="70">
        <v>31791</v>
      </c>
      <c r="O73" s="71">
        <v>19250</v>
      </c>
    </row>
    <row r="74" spans="8:15" x14ac:dyDescent="0.3">
      <c r="H74" s="68">
        <v>60</v>
      </c>
      <c r="I74" s="69" t="s">
        <v>529</v>
      </c>
      <c r="J74" s="69" t="s">
        <v>530</v>
      </c>
      <c r="K74" s="69" t="s">
        <v>367</v>
      </c>
      <c r="L74" s="69" t="s">
        <v>506</v>
      </c>
      <c r="M74" s="69" t="s">
        <v>531</v>
      </c>
      <c r="N74" s="70">
        <v>32105</v>
      </c>
      <c r="O74" s="71">
        <v>19250</v>
      </c>
    </row>
    <row r="75" spans="8:15" x14ac:dyDescent="0.3">
      <c r="H75" s="68">
        <v>64</v>
      </c>
      <c r="I75" s="69" t="s">
        <v>532</v>
      </c>
      <c r="J75" s="69" t="s">
        <v>533</v>
      </c>
      <c r="K75" s="69" t="s">
        <v>384</v>
      </c>
      <c r="L75" s="69" t="s">
        <v>506</v>
      </c>
      <c r="M75" s="69" t="s">
        <v>507</v>
      </c>
      <c r="N75" s="70">
        <v>32441</v>
      </c>
      <c r="O75" s="71">
        <v>17500</v>
      </c>
    </row>
    <row r="76" spans="8:15" x14ac:dyDescent="0.3">
      <c r="H76" s="68">
        <v>72</v>
      </c>
      <c r="I76" s="69" t="s">
        <v>534</v>
      </c>
      <c r="J76" s="69" t="s">
        <v>455</v>
      </c>
      <c r="K76" s="69" t="s">
        <v>391</v>
      </c>
      <c r="L76" s="69" t="s">
        <v>506</v>
      </c>
      <c r="M76" s="69" t="s">
        <v>519</v>
      </c>
      <c r="N76" s="70">
        <v>32438</v>
      </c>
      <c r="O76" s="71">
        <v>17500</v>
      </c>
    </row>
    <row r="77" spans="8:15" x14ac:dyDescent="0.3">
      <c r="H77" s="68">
        <v>81</v>
      </c>
      <c r="I77" s="69" t="s">
        <v>535</v>
      </c>
      <c r="J77" s="69" t="s">
        <v>536</v>
      </c>
      <c r="K77" s="69" t="s">
        <v>397</v>
      </c>
      <c r="L77" s="69" t="s">
        <v>506</v>
      </c>
      <c r="M77" s="69" t="s">
        <v>526</v>
      </c>
      <c r="N77" s="70">
        <v>32447</v>
      </c>
      <c r="O77" s="71">
        <v>17500</v>
      </c>
    </row>
    <row r="78" spans="8:15" x14ac:dyDescent="0.3">
      <c r="H78" s="68">
        <v>87</v>
      </c>
      <c r="I78" s="69" t="s">
        <v>537</v>
      </c>
      <c r="J78" s="69" t="s">
        <v>538</v>
      </c>
      <c r="K78" s="69" t="s">
        <v>367</v>
      </c>
      <c r="L78" s="69" t="s">
        <v>506</v>
      </c>
      <c r="M78" s="69" t="s">
        <v>507</v>
      </c>
      <c r="N78" s="70">
        <v>35811</v>
      </c>
      <c r="O78" s="71">
        <v>17500</v>
      </c>
    </row>
    <row r="79" spans="8:15" x14ac:dyDescent="0.3">
      <c r="H79" s="68">
        <v>93</v>
      </c>
      <c r="I79" s="69" t="s">
        <v>539</v>
      </c>
      <c r="J79" s="69" t="s">
        <v>374</v>
      </c>
      <c r="K79" s="69" t="s">
        <v>363</v>
      </c>
      <c r="L79" s="69" t="s">
        <v>506</v>
      </c>
      <c r="M79" s="69" t="s">
        <v>515</v>
      </c>
      <c r="N79" s="70">
        <v>32604</v>
      </c>
      <c r="O79" s="71">
        <v>17325</v>
      </c>
    </row>
    <row r="80" spans="8:15" x14ac:dyDescent="0.3">
      <c r="H80" s="68">
        <v>95</v>
      </c>
      <c r="I80" s="69" t="s">
        <v>540</v>
      </c>
      <c r="J80" s="69" t="s">
        <v>459</v>
      </c>
      <c r="K80" s="69" t="s">
        <v>367</v>
      </c>
      <c r="L80" s="69" t="s">
        <v>506</v>
      </c>
      <c r="M80" s="69" t="s">
        <v>515</v>
      </c>
      <c r="N80" s="70">
        <v>32606</v>
      </c>
      <c r="O80" s="71">
        <v>17325</v>
      </c>
    </row>
    <row r="81" spans="8:15" x14ac:dyDescent="0.3">
      <c r="H81" s="68">
        <v>97</v>
      </c>
      <c r="I81" s="69" t="s">
        <v>541</v>
      </c>
      <c r="J81" s="69" t="s">
        <v>542</v>
      </c>
      <c r="K81" s="69" t="s">
        <v>391</v>
      </c>
      <c r="L81" s="69" t="s">
        <v>506</v>
      </c>
      <c r="M81" s="69" t="s">
        <v>531</v>
      </c>
      <c r="N81" s="70">
        <v>32608</v>
      </c>
      <c r="O81" s="71">
        <v>17325</v>
      </c>
    </row>
    <row r="82" spans="8:15" x14ac:dyDescent="0.3">
      <c r="H82" s="68">
        <v>100</v>
      </c>
      <c r="I82" s="69" t="s">
        <v>543</v>
      </c>
      <c r="J82" s="69" t="s">
        <v>544</v>
      </c>
      <c r="K82" s="69" t="s">
        <v>371</v>
      </c>
      <c r="L82" s="69" t="s">
        <v>506</v>
      </c>
      <c r="M82" s="69" t="s">
        <v>507</v>
      </c>
      <c r="N82" s="70">
        <v>36193</v>
      </c>
      <c r="O82" s="71">
        <v>7875</v>
      </c>
    </row>
    <row r="83" spans="8:15" x14ac:dyDescent="0.3">
      <c r="H83" s="68">
        <v>7</v>
      </c>
      <c r="I83" s="69" t="s">
        <v>545</v>
      </c>
      <c r="J83" s="69" t="s">
        <v>546</v>
      </c>
      <c r="K83" s="69" t="s">
        <v>384</v>
      </c>
      <c r="L83" s="69" t="s">
        <v>547</v>
      </c>
      <c r="M83" s="69" t="s">
        <v>548</v>
      </c>
      <c r="N83" s="70">
        <v>33102</v>
      </c>
      <c r="O83" s="71">
        <v>12425</v>
      </c>
    </row>
    <row r="84" spans="8:15" x14ac:dyDescent="0.3">
      <c r="H84" s="68">
        <v>11</v>
      </c>
      <c r="I84" s="69" t="s">
        <v>549</v>
      </c>
      <c r="J84" s="69" t="s">
        <v>550</v>
      </c>
      <c r="K84" s="69" t="s">
        <v>371</v>
      </c>
      <c r="L84" s="69" t="s">
        <v>547</v>
      </c>
      <c r="M84" s="69" t="s">
        <v>548</v>
      </c>
      <c r="N84" s="70">
        <v>31402</v>
      </c>
      <c r="O84" s="71">
        <v>14875</v>
      </c>
    </row>
    <row r="85" spans="8:15" x14ac:dyDescent="0.3">
      <c r="H85" s="68">
        <v>18</v>
      </c>
      <c r="I85" s="69" t="s">
        <v>551</v>
      </c>
      <c r="J85" s="69" t="s">
        <v>552</v>
      </c>
      <c r="K85" s="69" t="s">
        <v>375</v>
      </c>
      <c r="L85" s="69" t="s">
        <v>547</v>
      </c>
      <c r="M85" s="69" t="s">
        <v>553</v>
      </c>
      <c r="N85" s="70">
        <v>30376</v>
      </c>
      <c r="O85" s="71">
        <v>15750</v>
      </c>
    </row>
    <row r="86" spans="8:15" x14ac:dyDescent="0.3">
      <c r="H86" s="68">
        <v>22</v>
      </c>
      <c r="I86" s="69" t="s">
        <v>554</v>
      </c>
      <c r="J86" s="69" t="s">
        <v>478</v>
      </c>
      <c r="K86" s="69" t="s">
        <v>367</v>
      </c>
      <c r="L86" s="69" t="s">
        <v>547</v>
      </c>
      <c r="M86" s="69" t="s">
        <v>553</v>
      </c>
      <c r="N86" s="70">
        <v>36318</v>
      </c>
      <c r="O86" s="71">
        <v>7875</v>
      </c>
    </row>
    <row r="87" spans="8:15" x14ac:dyDescent="0.3">
      <c r="H87" s="68">
        <v>23</v>
      </c>
      <c r="I87" s="69" t="s">
        <v>555</v>
      </c>
      <c r="J87" s="69" t="s">
        <v>483</v>
      </c>
      <c r="K87" s="69" t="s">
        <v>367</v>
      </c>
      <c r="L87" s="69" t="s">
        <v>547</v>
      </c>
      <c r="M87" s="69" t="s">
        <v>548</v>
      </c>
      <c r="N87" s="70">
        <v>36319</v>
      </c>
      <c r="O87" s="71">
        <v>7875</v>
      </c>
    </row>
    <row r="88" spans="8:15" x14ac:dyDescent="0.3">
      <c r="H88" s="68">
        <v>24</v>
      </c>
      <c r="I88" s="69" t="s">
        <v>389</v>
      </c>
      <c r="J88" s="69" t="s">
        <v>556</v>
      </c>
      <c r="K88" s="69" t="s">
        <v>363</v>
      </c>
      <c r="L88" s="69" t="s">
        <v>547</v>
      </c>
      <c r="M88" s="69" t="s">
        <v>553</v>
      </c>
      <c r="N88" s="70">
        <v>29362</v>
      </c>
      <c r="O88" s="71">
        <v>14875</v>
      </c>
    </row>
    <row r="89" spans="8:15" x14ac:dyDescent="0.3">
      <c r="H89" s="68">
        <v>28</v>
      </c>
      <c r="I89" s="69" t="s">
        <v>557</v>
      </c>
      <c r="J89" s="69" t="s">
        <v>558</v>
      </c>
      <c r="K89" s="69" t="s">
        <v>391</v>
      </c>
      <c r="L89" s="69" t="s">
        <v>547</v>
      </c>
      <c r="M89" s="69" t="s">
        <v>559</v>
      </c>
      <c r="N89" s="70">
        <v>34777</v>
      </c>
      <c r="O89" s="71">
        <v>10500</v>
      </c>
    </row>
    <row r="90" spans="8:15" x14ac:dyDescent="0.3">
      <c r="H90" s="68">
        <v>36</v>
      </c>
      <c r="I90" s="69" t="s">
        <v>389</v>
      </c>
      <c r="J90" s="69" t="s">
        <v>560</v>
      </c>
      <c r="K90" s="69" t="s">
        <v>384</v>
      </c>
      <c r="L90" s="69" t="s">
        <v>547</v>
      </c>
      <c r="M90" s="69" t="s">
        <v>561</v>
      </c>
      <c r="N90" s="70">
        <v>34580</v>
      </c>
      <c r="O90" s="71">
        <v>11725</v>
      </c>
    </row>
    <row r="91" spans="8:15" x14ac:dyDescent="0.3">
      <c r="H91" s="68">
        <v>43</v>
      </c>
      <c r="I91" s="69" t="s">
        <v>562</v>
      </c>
      <c r="J91" s="69" t="s">
        <v>525</v>
      </c>
      <c r="K91" s="69" t="s">
        <v>384</v>
      </c>
      <c r="L91" s="69" t="s">
        <v>547</v>
      </c>
      <c r="M91" s="69" t="s">
        <v>559</v>
      </c>
      <c r="N91" s="70">
        <v>32435</v>
      </c>
      <c r="O91" s="71">
        <v>15750</v>
      </c>
    </row>
    <row r="92" spans="8:15" x14ac:dyDescent="0.3">
      <c r="H92" s="68">
        <v>48</v>
      </c>
      <c r="I92" s="69" t="s">
        <v>563</v>
      </c>
      <c r="J92" s="69" t="s">
        <v>472</v>
      </c>
      <c r="K92" s="69" t="s">
        <v>397</v>
      </c>
      <c r="L92" s="69" t="s">
        <v>547</v>
      </c>
      <c r="M92" s="69" t="s">
        <v>564</v>
      </c>
      <c r="N92" s="70">
        <v>32435</v>
      </c>
      <c r="O92" s="71">
        <v>15750</v>
      </c>
    </row>
    <row r="93" spans="8:15" x14ac:dyDescent="0.3">
      <c r="H93" s="68">
        <v>50</v>
      </c>
      <c r="I93" s="69" t="s">
        <v>565</v>
      </c>
      <c r="J93" s="69" t="s">
        <v>470</v>
      </c>
      <c r="K93" s="69" t="s">
        <v>384</v>
      </c>
      <c r="L93" s="69" t="s">
        <v>547</v>
      </c>
      <c r="M93" s="69" t="s">
        <v>564</v>
      </c>
      <c r="N93" s="70">
        <v>32435</v>
      </c>
      <c r="O93" s="71">
        <v>15750</v>
      </c>
    </row>
    <row r="94" spans="8:15" x14ac:dyDescent="0.3">
      <c r="H94" s="68">
        <v>53</v>
      </c>
      <c r="I94" s="69" t="s">
        <v>566</v>
      </c>
      <c r="J94" s="69" t="s">
        <v>567</v>
      </c>
      <c r="K94" s="69" t="s">
        <v>397</v>
      </c>
      <c r="L94" s="69" t="s">
        <v>547</v>
      </c>
      <c r="M94" s="69" t="s">
        <v>568</v>
      </c>
      <c r="N94" s="70">
        <v>35034</v>
      </c>
      <c r="O94" s="71">
        <v>15750</v>
      </c>
    </row>
    <row r="95" spans="8:15" x14ac:dyDescent="0.3">
      <c r="H95" s="68">
        <v>56</v>
      </c>
      <c r="I95" s="69" t="s">
        <v>569</v>
      </c>
      <c r="J95" s="69" t="s">
        <v>570</v>
      </c>
      <c r="K95" s="69" t="s">
        <v>363</v>
      </c>
      <c r="L95" s="69" t="s">
        <v>547</v>
      </c>
      <c r="M95" s="69" t="s">
        <v>568</v>
      </c>
      <c r="N95" s="70">
        <v>33878</v>
      </c>
      <c r="O95" s="71">
        <v>14875</v>
      </c>
    </row>
    <row r="96" spans="8:15" x14ac:dyDescent="0.3">
      <c r="H96" s="68">
        <v>71</v>
      </c>
      <c r="I96" s="69" t="s">
        <v>571</v>
      </c>
      <c r="J96" s="69" t="s">
        <v>572</v>
      </c>
      <c r="K96" s="69" t="s">
        <v>391</v>
      </c>
      <c r="L96" s="69" t="s">
        <v>547</v>
      </c>
      <c r="M96" s="69" t="s">
        <v>573</v>
      </c>
      <c r="N96" s="70">
        <v>34763</v>
      </c>
      <c r="O96" s="71">
        <v>14000</v>
      </c>
    </row>
    <row r="97" spans="8:15" x14ac:dyDescent="0.3">
      <c r="H97" s="68">
        <v>76</v>
      </c>
      <c r="I97" s="69" t="s">
        <v>574</v>
      </c>
      <c r="J97" s="69" t="s">
        <v>394</v>
      </c>
      <c r="K97" s="69" t="s">
        <v>397</v>
      </c>
      <c r="L97" s="69" t="s">
        <v>547</v>
      </c>
      <c r="M97" s="69" t="s">
        <v>573</v>
      </c>
      <c r="N97" s="70">
        <v>32442</v>
      </c>
      <c r="O97" s="71">
        <v>17500</v>
      </c>
    </row>
    <row r="98" spans="8:15" x14ac:dyDescent="0.3">
      <c r="H98" s="68">
        <v>78</v>
      </c>
      <c r="I98" s="69" t="s">
        <v>575</v>
      </c>
      <c r="J98" s="69" t="s">
        <v>576</v>
      </c>
      <c r="K98" s="69" t="s">
        <v>363</v>
      </c>
      <c r="L98" s="69" t="s">
        <v>547</v>
      </c>
      <c r="M98" s="69" t="s">
        <v>559</v>
      </c>
      <c r="N98" s="70">
        <v>32444</v>
      </c>
      <c r="O98" s="71">
        <v>17500</v>
      </c>
    </row>
    <row r="99" spans="8:15" x14ac:dyDescent="0.3">
      <c r="H99" s="68">
        <v>88</v>
      </c>
      <c r="I99" s="69" t="s">
        <v>577</v>
      </c>
      <c r="J99" s="69" t="s">
        <v>578</v>
      </c>
      <c r="K99" s="69" t="s">
        <v>367</v>
      </c>
      <c r="L99" s="69" t="s">
        <v>547</v>
      </c>
      <c r="M99" s="69" t="s">
        <v>548</v>
      </c>
      <c r="N99" s="70">
        <v>35794</v>
      </c>
      <c r="O99" s="71">
        <v>7875</v>
      </c>
    </row>
    <row r="100" spans="8:15" x14ac:dyDescent="0.3">
      <c r="H100" s="68">
        <v>94</v>
      </c>
      <c r="I100" s="69" t="s">
        <v>579</v>
      </c>
      <c r="J100" s="69" t="s">
        <v>580</v>
      </c>
      <c r="K100" s="69" t="s">
        <v>367</v>
      </c>
      <c r="L100" s="69" t="s">
        <v>547</v>
      </c>
      <c r="M100" s="69" t="s">
        <v>561</v>
      </c>
      <c r="N100" s="70">
        <v>32605</v>
      </c>
      <c r="O100" s="71">
        <v>17325</v>
      </c>
    </row>
    <row r="101" spans="8:15" x14ac:dyDescent="0.3">
      <c r="H101" s="68">
        <v>96</v>
      </c>
      <c r="I101" s="69" t="s">
        <v>425</v>
      </c>
      <c r="J101" s="69" t="s">
        <v>325</v>
      </c>
      <c r="K101" s="69" t="s">
        <v>391</v>
      </c>
      <c r="L101" s="69" t="s">
        <v>547</v>
      </c>
      <c r="M101" s="69" t="s">
        <v>568</v>
      </c>
      <c r="N101" s="70">
        <v>32607</v>
      </c>
      <c r="O101" s="71">
        <v>17325</v>
      </c>
    </row>
    <row r="102" spans="8:15" x14ac:dyDescent="0.3">
      <c r="H102" s="68">
        <v>99</v>
      </c>
      <c r="I102" s="69" t="s">
        <v>581</v>
      </c>
      <c r="J102" s="69" t="s">
        <v>485</v>
      </c>
      <c r="K102" s="69" t="s">
        <v>371</v>
      </c>
      <c r="L102" s="69" t="s">
        <v>547</v>
      </c>
      <c r="M102" s="69" t="s">
        <v>559</v>
      </c>
      <c r="N102" s="70">
        <v>35794</v>
      </c>
      <c r="O102" s="71">
        <v>10500</v>
      </c>
    </row>
  </sheetData>
  <hyperlinks>
    <hyperlink ref="A2" location="Home!A1" display="Home" xr:uid="{D18589DA-3318-4093-8256-7F67157DC54E}"/>
    <hyperlink ref="A3" r:id="rId1" xr:uid="{97D828CB-DCE9-4723-ADC4-9B0482567DB7}"/>
  </hyperlinks>
  <pageMargins left="0.7" right="0.7" top="0.75" bottom="0.75" header="0.3" footer="0.3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E893-D76C-4986-9803-1AE428C0AAAB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6">
        <v>43</v>
      </c>
      <c r="B1" s="1" t="s">
        <v>582</v>
      </c>
    </row>
    <row r="2" spans="1:3" x14ac:dyDescent="0.3">
      <c r="A2" s="37" t="s">
        <v>2</v>
      </c>
    </row>
    <row r="3" spans="1:3" x14ac:dyDescent="0.3">
      <c r="B3" s="3" t="s">
        <v>336</v>
      </c>
      <c r="C3" s="3" t="s">
        <v>346</v>
      </c>
    </row>
    <row r="4" spans="1:3" x14ac:dyDescent="0.3">
      <c r="B4" s="4" t="s">
        <v>338</v>
      </c>
      <c r="C4" s="4" t="e" vm="1">
        <f ca="1">_xlfn.TEXTBEFORE(B4,",",2)</f>
        <v>#NAME?</v>
      </c>
    </row>
    <row r="5" spans="1:3" x14ac:dyDescent="0.3">
      <c r="B5" s="4" t="s">
        <v>339</v>
      </c>
      <c r="C5" s="4" t="e" vm="1">
        <f ca="1">_xlfn.TEXTBEFORE(B5,",",2)</f>
        <v>#NAME?</v>
      </c>
    </row>
    <row r="6" spans="1:3" x14ac:dyDescent="0.3">
      <c r="B6" s="4" t="s">
        <v>340</v>
      </c>
      <c r="C6" s="4" t="e" vm="1">
        <f ca="1">_xlfn.TEXTBEFORE(B6,",",2)</f>
        <v>#NAME?</v>
      </c>
    </row>
    <row r="7" spans="1:3" x14ac:dyDescent="0.3">
      <c r="B7" s="4" t="s">
        <v>341</v>
      </c>
      <c r="C7" s="4" t="e" vm="1">
        <f ca="1">_xlfn.TEXTBEFORE(B7,",",2)</f>
        <v>#NAME?</v>
      </c>
    </row>
  </sheetData>
  <hyperlinks>
    <hyperlink ref="A2" location="Home!A1" display="Home" xr:uid="{D39EFECA-BF1E-4053-BE92-7447530A163D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1B12-97BA-4FCF-9157-6CA201D0EB5A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6">
        <v>44</v>
      </c>
      <c r="B1" s="1" t="s">
        <v>583</v>
      </c>
    </row>
    <row r="2" spans="1:3" x14ac:dyDescent="0.3">
      <c r="A2" s="37" t="s">
        <v>2</v>
      </c>
    </row>
    <row r="3" spans="1:3" x14ac:dyDescent="0.3">
      <c r="B3" s="3" t="s">
        <v>336</v>
      </c>
      <c r="C3" s="3" t="s">
        <v>346</v>
      </c>
    </row>
    <row r="4" spans="1:3" x14ac:dyDescent="0.3">
      <c r="B4" s="4" t="s">
        <v>338</v>
      </c>
      <c r="C4" s="4" t="e" vm="1">
        <f ca="1">_xlfn.TEXTAFTER(B4,",",2)</f>
        <v>#NAME?</v>
      </c>
    </row>
    <row r="5" spans="1:3" x14ac:dyDescent="0.3">
      <c r="B5" s="4" t="s">
        <v>339</v>
      </c>
      <c r="C5" s="4" t="e" vm="1">
        <f ca="1">_xlfn.TEXTAFTER(B5,",",2)</f>
        <v>#NAME?</v>
      </c>
    </row>
    <row r="6" spans="1:3" x14ac:dyDescent="0.3">
      <c r="B6" s="4" t="s">
        <v>340</v>
      </c>
      <c r="C6" s="4" t="e" vm="1">
        <f ca="1">_xlfn.TEXTAFTER(B6,",",2)</f>
        <v>#NAME?</v>
      </c>
    </row>
    <row r="7" spans="1:3" x14ac:dyDescent="0.3">
      <c r="B7" s="4" t="s">
        <v>341</v>
      </c>
      <c r="C7" s="4" t="e" vm="1">
        <f ca="1">_xlfn.TEXTAFTER(B7,",",2)</f>
        <v>#NAME?</v>
      </c>
    </row>
  </sheetData>
  <hyperlinks>
    <hyperlink ref="A2" location="Home!A1" display="Home" xr:uid="{FCEFDD36-3050-470C-A171-170DF46D2600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309F-E7B1-4466-8A49-60049ACC17C6}">
  <dimension ref="A1:B11"/>
  <sheetViews>
    <sheetView zoomScale="130" zoomScaleNormal="130" workbookViewId="0">
      <pane ySplit="1" topLeftCell="A2" activePane="bottomLeft" state="frozen"/>
      <selection pane="bottomLeft" activeCell="B11" sqref="B11"/>
    </sheetView>
  </sheetViews>
  <sheetFormatPr defaultRowHeight="18.75" x14ac:dyDescent="0.3"/>
  <cols>
    <col min="2" max="2" width="19.296875" customWidth="1"/>
    <col min="4" max="4" width="16.796875" bestFit="1" customWidth="1"/>
  </cols>
  <sheetData>
    <row r="1" spans="1:2" s="2" customFormat="1" ht="32.65" customHeight="1" thickBot="1" x14ac:dyDescent="0.35">
      <c r="A1" s="36">
        <v>45</v>
      </c>
      <c r="B1" s="1" t="s">
        <v>584</v>
      </c>
    </row>
    <row r="2" spans="1:2" x14ac:dyDescent="0.3">
      <c r="A2" s="37" t="s">
        <v>2</v>
      </c>
    </row>
    <row r="3" spans="1:2" x14ac:dyDescent="0.3">
      <c r="B3" s="3" t="s">
        <v>320</v>
      </c>
    </row>
    <row r="4" spans="1:2" x14ac:dyDescent="0.3">
      <c r="B4" s="4" t="s">
        <v>585</v>
      </c>
    </row>
    <row r="5" spans="1:2" x14ac:dyDescent="0.3">
      <c r="B5" s="4" t="s">
        <v>586</v>
      </c>
    </row>
    <row r="6" spans="1:2" x14ac:dyDescent="0.3">
      <c r="B6" s="4" t="s">
        <v>587</v>
      </c>
    </row>
    <row r="7" spans="1:2" x14ac:dyDescent="0.3">
      <c r="B7" s="20" t="s">
        <v>588</v>
      </c>
    </row>
    <row r="8" spans="1:2" x14ac:dyDescent="0.3">
      <c r="B8" s="39" t="s">
        <v>589</v>
      </c>
    </row>
    <row r="9" spans="1:2" x14ac:dyDescent="0.3">
      <c r="B9" s="5" t="s">
        <v>590</v>
      </c>
    </row>
    <row r="10" spans="1:2" x14ac:dyDescent="0.3">
      <c r="B10" s="4" t="s">
        <v>591</v>
      </c>
    </row>
    <row r="11" spans="1:2" x14ac:dyDescent="0.3">
      <c r="B11" s="4" t="s">
        <v>588</v>
      </c>
    </row>
  </sheetData>
  <hyperlinks>
    <hyperlink ref="A2" location="Home!A1" display="Home" xr:uid="{2F72D105-1116-4A50-8973-0D3E53355D19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817F5-0BDC-4353-86BD-7A3CE06021B1}">
  <dimension ref="A1:G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5" width="7.796875" customWidth="1"/>
    <col min="6" max="6" width="5.8984375" bestFit="1" customWidth="1"/>
  </cols>
  <sheetData>
    <row r="1" spans="1:7" s="2" customFormat="1" ht="32.65" customHeight="1" thickBot="1" x14ac:dyDescent="0.35">
      <c r="A1" s="36">
        <v>46</v>
      </c>
      <c r="B1" s="1" t="s">
        <v>592</v>
      </c>
    </row>
    <row r="2" spans="1:7" x14ac:dyDescent="0.3">
      <c r="A2" s="37" t="s">
        <v>2</v>
      </c>
    </row>
    <row r="3" spans="1:7" x14ac:dyDescent="0.3">
      <c r="B3" s="3" t="s">
        <v>593</v>
      </c>
      <c r="C3" s="42" t="s">
        <v>85</v>
      </c>
      <c r="D3" s="42" t="s">
        <v>86</v>
      </c>
      <c r="E3" s="42" t="s">
        <v>87</v>
      </c>
    </row>
    <row r="4" spans="1:7" x14ac:dyDescent="0.3">
      <c r="B4" s="21" t="s">
        <v>90</v>
      </c>
      <c r="C4" s="39">
        <v>15800</v>
      </c>
      <c r="D4" s="39">
        <v>42000</v>
      </c>
      <c r="E4" s="39">
        <v>26700</v>
      </c>
    </row>
    <row r="5" spans="1:7" x14ac:dyDescent="0.3">
      <c r="B5" s="21" t="s">
        <v>92</v>
      </c>
      <c r="C5" s="39">
        <v>19300</v>
      </c>
      <c r="D5" s="39">
        <v>9800</v>
      </c>
      <c r="E5" s="39">
        <v>7400</v>
      </c>
    </row>
    <row r="6" spans="1:7" x14ac:dyDescent="0.3">
      <c r="B6" s="21" t="s">
        <v>94</v>
      </c>
      <c r="C6" s="39">
        <v>8700</v>
      </c>
      <c r="D6" s="39">
        <v>10200</v>
      </c>
      <c r="E6" s="39">
        <v>28300</v>
      </c>
    </row>
    <row r="7" spans="1:7" x14ac:dyDescent="0.3">
      <c r="B7" s="21" t="s">
        <v>90</v>
      </c>
      <c r="C7" s="39">
        <v>31400</v>
      </c>
      <c r="D7" s="39">
        <v>24800</v>
      </c>
      <c r="E7" s="39">
        <v>21500</v>
      </c>
    </row>
    <row r="8" spans="1:7" x14ac:dyDescent="0.3">
      <c r="B8" s="21" t="s">
        <v>92</v>
      </c>
      <c r="C8" s="39">
        <v>22600</v>
      </c>
      <c r="D8" s="39">
        <v>7700</v>
      </c>
      <c r="E8" s="39">
        <v>9900</v>
      </c>
    </row>
    <row r="10" spans="1:7" x14ac:dyDescent="0.3">
      <c r="B10" t="str">
        <f t="array" ref="B10:G13">TRANSPOSE(B3:E8)</f>
        <v>region</v>
      </c>
      <c r="C10" t="str">
        <v>East</v>
      </c>
      <c r="D10" t="str">
        <v>West</v>
      </c>
      <c r="E10" t="str">
        <v>North</v>
      </c>
      <c r="F10" t="str">
        <v>East</v>
      </c>
      <c r="G10" t="str">
        <v>West</v>
      </c>
    </row>
    <row r="11" spans="1:7" x14ac:dyDescent="0.3">
      <c r="B11" t="str">
        <v>Jan</v>
      </c>
      <c r="C11">
        <v>15800</v>
      </c>
      <c r="D11">
        <v>19300</v>
      </c>
      <c r="E11">
        <v>8700</v>
      </c>
      <c r="F11">
        <v>31400</v>
      </c>
      <c r="G11">
        <v>22600</v>
      </c>
    </row>
    <row r="12" spans="1:7" x14ac:dyDescent="0.3">
      <c r="B12" t="str">
        <v>Feb</v>
      </c>
      <c r="C12">
        <v>42000</v>
      </c>
      <c r="D12">
        <v>9800</v>
      </c>
      <c r="E12">
        <v>10200</v>
      </c>
      <c r="F12">
        <v>24800</v>
      </c>
      <c r="G12">
        <v>7700</v>
      </c>
    </row>
    <row r="13" spans="1:7" x14ac:dyDescent="0.3">
      <c r="B13" t="str">
        <v>Mar</v>
      </c>
      <c r="C13">
        <v>26700</v>
      </c>
      <c r="D13">
        <v>7400</v>
      </c>
      <c r="E13">
        <v>28300</v>
      </c>
      <c r="F13">
        <v>21500</v>
      </c>
      <c r="G13">
        <v>9900</v>
      </c>
    </row>
  </sheetData>
  <autoFilter ref="B3" xr:uid="{5F25ACC2-B8B4-4988-A5EC-9A1C662B3F3C}"/>
  <hyperlinks>
    <hyperlink ref="A2" location="Home!A1" display="Home" xr:uid="{C99C8E3B-808B-4A43-8E18-766AC278D886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5D41-CEEF-4DAD-95C8-D3FCBB0F98A7}">
  <dimension ref="A1:F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33.59765625" customWidth="1"/>
    <col min="3" max="5" width="12.8984375" customWidth="1"/>
    <col min="6" max="6" width="9.59765625" customWidth="1"/>
  </cols>
  <sheetData>
    <row r="1" spans="1:6" s="2" customFormat="1" ht="32.65" customHeight="1" thickBot="1" x14ac:dyDescent="0.35">
      <c r="A1" s="36">
        <v>47</v>
      </c>
      <c r="B1" s="1" t="s">
        <v>594</v>
      </c>
    </row>
    <row r="2" spans="1:6" x14ac:dyDescent="0.3">
      <c r="A2" s="37" t="s">
        <v>2</v>
      </c>
    </row>
    <row r="3" spans="1:6" x14ac:dyDescent="0.3">
      <c r="B3" s="3" t="s">
        <v>336</v>
      </c>
      <c r="C3" s="3"/>
      <c r="D3" s="3"/>
      <c r="E3" s="3"/>
    </row>
    <row r="4" spans="1:6" x14ac:dyDescent="0.3">
      <c r="B4" s="4">
        <v>110062</v>
      </c>
      <c r="C4" s="4" t="s">
        <v>466</v>
      </c>
      <c r="D4" s="4">
        <v>9999999999</v>
      </c>
      <c r="E4" s="4"/>
    </row>
    <row r="5" spans="1:6" x14ac:dyDescent="0.3">
      <c r="B5" s="4">
        <v>121102</v>
      </c>
      <c r="C5" s="4" t="s">
        <v>595</v>
      </c>
      <c r="D5" s="4">
        <v>4444444444</v>
      </c>
      <c r="E5" s="4"/>
    </row>
    <row r="7" spans="1:6" x14ac:dyDescent="0.3">
      <c r="B7" s="3" t="s">
        <v>336</v>
      </c>
      <c r="C7" s="3" t="s">
        <v>337</v>
      </c>
      <c r="D7" s="3" t="s">
        <v>381</v>
      </c>
      <c r="E7" s="3" t="s">
        <v>346</v>
      </c>
    </row>
    <row r="8" spans="1:6" x14ac:dyDescent="0.3">
      <c r="B8" s="4" t="s">
        <v>338</v>
      </c>
      <c r="C8" s="4" t="e" vm="1">
        <f t="array" aca="1" ref="C8" ca="1">_xlfn.TEXTSPLIT(B8,",")</f>
        <v>#NAME?</v>
      </c>
      <c r="D8" s="4"/>
      <c r="E8" s="4"/>
    </row>
    <row r="9" spans="1:6" x14ac:dyDescent="0.3">
      <c r="B9" s="4" t="s">
        <v>339</v>
      </c>
      <c r="C9" s="4" t="e" vm="1">
        <f t="array" aca="1" ref="C9" ca="1">_xlfn.TEXTSPLIT(B9,",")</f>
        <v>#NAME?</v>
      </c>
      <c r="D9" s="4"/>
      <c r="E9" s="4"/>
    </row>
    <row r="11" spans="1:6" x14ac:dyDescent="0.3">
      <c r="B11" s="3" t="s">
        <v>336</v>
      </c>
      <c r="C11" s="3" t="s">
        <v>596</v>
      </c>
      <c r="D11" s="3" t="s">
        <v>337</v>
      </c>
      <c r="E11" s="3" t="s">
        <v>381</v>
      </c>
      <c r="F11" s="3" t="s">
        <v>346</v>
      </c>
    </row>
    <row r="12" spans="1:6" x14ac:dyDescent="0.3">
      <c r="B12" s="4" t="s">
        <v>597</v>
      </c>
      <c r="C12" s="4" t="e" vm="1">
        <f t="array" aca="1" ref="C12" ca="1">_xlfn.TEXTSPLIT(B12,"/")</f>
        <v>#NAME?</v>
      </c>
      <c r="D12" s="4"/>
      <c r="E12" s="4"/>
      <c r="F12" s="4"/>
    </row>
    <row r="13" spans="1:6" x14ac:dyDescent="0.3">
      <c r="B13" s="4" t="s">
        <v>598</v>
      </c>
      <c r="C13" s="4" t="e" vm="1">
        <f t="array" aca="1" ref="C13" ca="1">_xlfn.TEXTSPLIT(B13,"/")</f>
        <v>#NAME?</v>
      </c>
      <c r="D13" s="4"/>
      <c r="E13" s="4"/>
      <c r="F13" s="4"/>
    </row>
  </sheetData>
  <autoFilter ref="B7" xr:uid="{696A84CC-9189-4868-A8CB-7DDAE8AEEF5F}"/>
  <hyperlinks>
    <hyperlink ref="A2" location="Home!A1" display="Home" xr:uid="{C2BC9917-5CC3-4016-A78F-955713340DFF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FFFD-201C-4135-BA62-15ECFA366ED3}">
  <dimension ref="A1:E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3" width="15.8984375" customWidth="1"/>
    <col min="4" max="5" width="16" customWidth="1"/>
    <col min="6" max="6" width="9.59765625" customWidth="1"/>
  </cols>
  <sheetData>
    <row r="1" spans="1:5" s="2" customFormat="1" ht="32.65" customHeight="1" thickBot="1" x14ac:dyDescent="0.35">
      <c r="A1" s="36">
        <v>48</v>
      </c>
      <c r="B1" s="1" t="s">
        <v>599</v>
      </c>
    </row>
    <row r="2" spans="1:5" x14ac:dyDescent="0.3">
      <c r="A2" s="37" t="s">
        <v>2</v>
      </c>
    </row>
    <row r="3" spans="1:5" x14ac:dyDescent="0.3">
      <c r="B3" t="s">
        <v>600</v>
      </c>
      <c r="C3" t="s">
        <v>601</v>
      </c>
    </row>
    <row r="4" spans="1:5" x14ac:dyDescent="0.3">
      <c r="B4" s="29">
        <f ca="1">NOW()</f>
        <v>46212.655026273147</v>
      </c>
      <c r="C4" s="30">
        <f ca="1">TODAY()</f>
        <v>46212</v>
      </c>
    </row>
    <row r="9" spans="1:5" x14ac:dyDescent="0.3">
      <c r="B9" s="3" t="s">
        <v>602</v>
      </c>
      <c r="C9" s="3" t="s">
        <v>346</v>
      </c>
      <c r="D9" s="3" t="s">
        <v>603</v>
      </c>
      <c r="E9" s="3" t="s">
        <v>604</v>
      </c>
    </row>
    <row r="10" spans="1:5" x14ac:dyDescent="0.3">
      <c r="B10" s="4" t="s">
        <v>605</v>
      </c>
      <c r="C10" s="4" t="s">
        <v>210</v>
      </c>
      <c r="D10" s="32">
        <v>0.61944444444444446</v>
      </c>
      <c r="E10" s="27">
        <v>45584</v>
      </c>
    </row>
    <row r="11" spans="1:5" x14ac:dyDescent="0.3">
      <c r="B11" s="4"/>
      <c r="C11" s="4"/>
      <c r="D11" s="4"/>
      <c r="E11" s="4"/>
    </row>
  </sheetData>
  <hyperlinks>
    <hyperlink ref="A2" location="Home!A1" display="Home" xr:uid="{8591A7AC-C791-4E6A-9636-64D70CB13A27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2A5DE-5786-45F2-9181-94943ADF71E1}">
  <dimension ref="A1:E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5" width="12.59765625" customWidth="1"/>
    <col min="6" max="6" width="9.59765625" customWidth="1"/>
  </cols>
  <sheetData>
    <row r="1" spans="1:5" s="2" customFormat="1" ht="32.65" customHeight="1" thickBot="1" x14ac:dyDescent="0.35">
      <c r="A1" s="36">
        <v>49</v>
      </c>
      <c r="B1" s="1" t="s">
        <v>606</v>
      </c>
    </row>
    <row r="2" spans="1:5" x14ac:dyDescent="0.3">
      <c r="A2" s="37" t="s">
        <v>2</v>
      </c>
    </row>
    <row r="3" spans="1:5" x14ac:dyDescent="0.3">
      <c r="B3" s="3" t="s">
        <v>141</v>
      </c>
      <c r="C3" s="3"/>
      <c r="D3" s="3"/>
      <c r="E3" s="3"/>
    </row>
    <row r="4" spans="1:5" x14ac:dyDescent="0.3">
      <c r="B4" s="27">
        <f>DATE(2024,1,20)</f>
        <v>45311</v>
      </c>
      <c r="C4" s="4"/>
      <c r="D4" s="4"/>
      <c r="E4" s="4"/>
    </row>
    <row r="5" spans="1:5" x14ac:dyDescent="0.3">
      <c r="B5" s="27">
        <f>DATE(2024,1,20)</f>
        <v>45311</v>
      </c>
      <c r="C5" s="4"/>
      <c r="D5" s="4"/>
      <c r="E5" s="4"/>
    </row>
    <row r="7" spans="1:5" x14ac:dyDescent="0.3">
      <c r="B7" s="3" t="s">
        <v>607</v>
      </c>
      <c r="C7" s="3" t="s">
        <v>608</v>
      </c>
      <c r="D7" s="3" t="s">
        <v>609</v>
      </c>
      <c r="E7" s="3" t="s">
        <v>141</v>
      </c>
    </row>
    <row r="8" spans="1:5" x14ac:dyDescent="0.3">
      <c r="B8" s="4">
        <v>2</v>
      </c>
      <c r="C8" s="4">
        <v>1</v>
      </c>
      <c r="D8" s="4">
        <v>2024</v>
      </c>
      <c r="E8" s="27">
        <f>DATE(D8,C8,B8)</f>
        <v>45293</v>
      </c>
    </row>
    <row r="9" spans="1:5" x14ac:dyDescent="0.3">
      <c r="B9" s="4">
        <v>12</v>
      </c>
      <c r="C9" s="4">
        <v>5</v>
      </c>
      <c r="D9" s="4">
        <v>2023</v>
      </c>
      <c r="E9" s="27">
        <f>DATE(D9,C9,B9)</f>
        <v>45058</v>
      </c>
    </row>
    <row r="10" spans="1:5" x14ac:dyDescent="0.3">
      <c r="B10" s="4">
        <v>22</v>
      </c>
      <c r="C10" s="4">
        <v>9</v>
      </c>
      <c r="D10" s="4">
        <v>2022</v>
      </c>
      <c r="E10" s="27">
        <f>DATE(D10,C10,B10)</f>
        <v>44826</v>
      </c>
    </row>
    <row r="11" spans="1:5" x14ac:dyDescent="0.3">
      <c r="B11" s="4">
        <v>3</v>
      </c>
      <c r="C11" s="4">
        <v>11</v>
      </c>
      <c r="D11" s="4">
        <v>2021</v>
      </c>
      <c r="E11" s="27">
        <f>DATE(D11,C11,B11)</f>
        <v>44503</v>
      </c>
    </row>
    <row r="12" spans="1:5" x14ac:dyDescent="0.3">
      <c r="B12" s="4">
        <v>4</v>
      </c>
      <c r="C12" s="4">
        <v>11</v>
      </c>
      <c r="D12" s="4">
        <v>2020</v>
      </c>
      <c r="E12" s="27">
        <f>DATE(D12,C12,B12)</f>
        <v>44139</v>
      </c>
    </row>
  </sheetData>
  <autoFilter ref="B7" xr:uid="{A3F550E7-52D1-480C-BFAF-83A4625332AB}"/>
  <hyperlinks>
    <hyperlink ref="A2" location="Home!A1" display="Home" xr:uid="{1FCF6ADD-4749-4B93-AFB2-73D83683AF68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A2E97-CFC8-46E3-ACAE-DB6FBE09601F}">
  <dimension ref="A1:E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5" width="12.59765625" customWidth="1"/>
    <col min="6" max="6" width="9.59765625" customWidth="1"/>
  </cols>
  <sheetData>
    <row r="1" spans="1:5" s="2" customFormat="1" ht="32.65" customHeight="1" thickBot="1" x14ac:dyDescent="0.35">
      <c r="A1" s="36">
        <v>50</v>
      </c>
      <c r="B1" s="1" t="s">
        <v>610</v>
      </c>
    </row>
    <row r="2" spans="1:5" x14ac:dyDescent="0.3">
      <c r="A2" s="37" t="s">
        <v>2</v>
      </c>
    </row>
    <row r="3" spans="1:5" x14ac:dyDescent="0.3">
      <c r="B3" s="3" t="s">
        <v>141</v>
      </c>
      <c r="C3" s="3" t="s">
        <v>607</v>
      </c>
      <c r="D3" s="3" t="s">
        <v>608</v>
      </c>
      <c r="E3" s="3" t="s">
        <v>609</v>
      </c>
    </row>
    <row r="4" spans="1:5" x14ac:dyDescent="0.3">
      <c r="B4" s="27">
        <v>45323</v>
      </c>
      <c r="C4" s="4">
        <f>DAY(B4)</f>
        <v>1</v>
      </c>
      <c r="D4" s="4">
        <f>MONTH(B4)</f>
        <v>2</v>
      </c>
      <c r="E4" s="4">
        <f>YEAR(B4)</f>
        <v>2024</v>
      </c>
    </row>
    <row r="5" spans="1:5" x14ac:dyDescent="0.3">
      <c r="B5" s="27">
        <v>45354</v>
      </c>
      <c r="C5" s="4">
        <f>DAY(B5)</f>
        <v>3</v>
      </c>
      <c r="D5" s="4">
        <f>MONTH(B5)</f>
        <v>3</v>
      </c>
      <c r="E5" s="4">
        <f>YEAR(B5)</f>
        <v>2024</v>
      </c>
    </row>
    <row r="6" spans="1:5" x14ac:dyDescent="0.3">
      <c r="B6" s="27">
        <v>45385</v>
      </c>
      <c r="C6" s="4">
        <f>DAY(B6)</f>
        <v>3</v>
      </c>
      <c r="D6" s="4">
        <f>MONTH(B6)</f>
        <v>4</v>
      </c>
      <c r="E6" s="4">
        <f>YEAR(B6)</f>
        <v>2024</v>
      </c>
    </row>
    <row r="7" spans="1:5" x14ac:dyDescent="0.3">
      <c r="B7" s="27">
        <v>45416</v>
      </c>
      <c r="C7" s="4">
        <f>DAY(B7)</f>
        <v>4</v>
      </c>
      <c r="D7" s="4">
        <f>MONTH(B7)</f>
        <v>5</v>
      </c>
      <c r="E7" s="4">
        <f>YEAR(B7)</f>
        <v>2024</v>
      </c>
    </row>
    <row r="8" spans="1:5" x14ac:dyDescent="0.3">
      <c r="B8" s="27">
        <v>45447</v>
      </c>
      <c r="C8" s="4">
        <f>DAY(B8)</f>
        <v>4</v>
      </c>
      <c r="D8" s="4">
        <f>MONTH(B8)</f>
        <v>6</v>
      </c>
      <c r="E8" s="4">
        <f>YEAR(B8)</f>
        <v>2024</v>
      </c>
    </row>
  </sheetData>
  <hyperlinks>
    <hyperlink ref="A2" location="Home!A1" display="Home" xr:uid="{C1FDA524-6BF3-43D1-BEAD-FD2F06C51FAE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305B-BEF2-47F0-AA05-2FD78A6BA15C}">
  <dimension ref="A1:D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.796875" customWidth="1"/>
    <col min="3" max="3" width="15.3984375" customWidth="1"/>
    <col min="4" max="4" width="12.59765625" customWidth="1"/>
    <col min="5" max="5" width="9.59765625" customWidth="1"/>
  </cols>
  <sheetData>
    <row r="1" spans="1:4" s="2" customFormat="1" ht="32.65" customHeight="1" thickBot="1" x14ac:dyDescent="0.35">
      <c r="A1" s="36">
        <v>51</v>
      </c>
      <c r="B1" s="1" t="s">
        <v>611</v>
      </c>
    </row>
    <row r="2" spans="1:4" x14ac:dyDescent="0.3">
      <c r="A2" s="37" t="s">
        <v>2</v>
      </c>
    </row>
    <row r="3" spans="1:4" x14ac:dyDescent="0.3">
      <c r="B3" s="3" t="s">
        <v>612</v>
      </c>
      <c r="C3" s="3" t="s">
        <v>613</v>
      </c>
      <c r="D3" s="3" t="s">
        <v>614</v>
      </c>
    </row>
    <row r="4" spans="1:4" x14ac:dyDescent="0.3">
      <c r="B4" s="27">
        <v>45323</v>
      </c>
      <c r="C4" s="27">
        <v>45334</v>
      </c>
      <c r="D4" s="4">
        <f>_xlfn.DAYS(C4,B4)</f>
        <v>11</v>
      </c>
    </row>
    <row r="5" spans="1:4" x14ac:dyDescent="0.3">
      <c r="B5" s="27">
        <v>45354</v>
      </c>
      <c r="C5" s="27">
        <v>45371</v>
      </c>
      <c r="D5" s="4">
        <f>_xlfn.DAYS(C5,B5)</f>
        <v>17</v>
      </c>
    </row>
    <row r="6" spans="1:4" x14ac:dyDescent="0.3">
      <c r="B6" s="27">
        <v>45385</v>
      </c>
      <c r="C6" s="27">
        <v>45448</v>
      </c>
      <c r="D6" s="4">
        <f>_xlfn.DAYS(C6,B6)</f>
        <v>63</v>
      </c>
    </row>
    <row r="7" spans="1:4" x14ac:dyDescent="0.3">
      <c r="B7" s="27">
        <v>45416</v>
      </c>
      <c r="C7" s="27">
        <v>45466</v>
      </c>
      <c r="D7" s="4">
        <f>_xlfn.DAYS(C7,B7)</f>
        <v>50</v>
      </c>
    </row>
    <row r="8" spans="1:4" x14ac:dyDescent="0.3">
      <c r="B8" s="27">
        <v>45447</v>
      </c>
      <c r="C8" s="27">
        <v>45463</v>
      </c>
      <c r="D8" s="4">
        <f>_xlfn.DAYS(C8,B8)</f>
        <v>16</v>
      </c>
    </row>
  </sheetData>
  <hyperlinks>
    <hyperlink ref="A2" location="Home!A1" display="Home" xr:uid="{6A19D240-4674-4B43-BE75-97513E0503CA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B76E-231B-47AF-92E2-252B24B547E0}">
  <dimension ref="A1:C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6.59765625" customWidth="1"/>
    <col min="3" max="3" width="35.796875" customWidth="1"/>
    <col min="4" max="4" width="9.59765625" customWidth="1"/>
  </cols>
  <sheetData>
    <row r="1" spans="1:3" s="2" customFormat="1" ht="32.65" customHeight="1" thickBot="1" x14ac:dyDescent="0.35">
      <c r="A1" s="36">
        <v>52</v>
      </c>
      <c r="B1" s="1" t="s">
        <v>615</v>
      </c>
    </row>
    <row r="2" spans="1:3" x14ac:dyDescent="0.3">
      <c r="A2" s="37" t="s">
        <v>2</v>
      </c>
    </row>
    <row r="3" spans="1:3" x14ac:dyDescent="0.3">
      <c r="B3" s="3" t="s">
        <v>616</v>
      </c>
      <c r="C3" s="3" t="s">
        <v>617</v>
      </c>
    </row>
    <row r="4" spans="1:3" x14ac:dyDescent="0.3">
      <c r="B4" s="27">
        <v>45323</v>
      </c>
      <c r="C4" s="27">
        <f>EDATE(B4,-3)</f>
        <v>45231</v>
      </c>
    </row>
    <row r="5" spans="1:3" x14ac:dyDescent="0.3">
      <c r="B5" s="27">
        <v>45354</v>
      </c>
      <c r="C5" s="27">
        <f>EDATE(B5,3)</f>
        <v>45446</v>
      </c>
    </row>
    <row r="6" spans="1:3" x14ac:dyDescent="0.3">
      <c r="B6" s="27">
        <v>45385</v>
      </c>
      <c r="C6" s="27">
        <f>EDATE(B6,3)</f>
        <v>45476</v>
      </c>
    </row>
    <row r="7" spans="1:3" x14ac:dyDescent="0.3">
      <c r="B7" s="27">
        <v>45416</v>
      </c>
      <c r="C7" s="27">
        <f>EDATE(B7,3)</f>
        <v>45508</v>
      </c>
    </row>
    <row r="8" spans="1:3" x14ac:dyDescent="0.3">
      <c r="B8" s="27">
        <v>45447</v>
      </c>
      <c r="C8" s="27">
        <f>EDATE(B8,3)</f>
        <v>45539</v>
      </c>
    </row>
    <row r="10" spans="1:3" x14ac:dyDescent="0.3">
      <c r="B10" t="s">
        <v>618</v>
      </c>
    </row>
    <row r="11" spans="1:3" x14ac:dyDescent="0.3">
      <c r="B11" t="s">
        <v>619</v>
      </c>
    </row>
  </sheetData>
  <hyperlinks>
    <hyperlink ref="A2" location="Home!A1" display="Home" xr:uid="{23E01E1B-5C73-4FF3-8DE7-A6199E738552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4C57-A6A1-4070-81B0-024B9906C182}">
  <dimension ref="A1:C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6.59765625" customWidth="1"/>
    <col min="3" max="3" width="18.19921875" customWidth="1"/>
    <col min="4" max="4" width="9.59765625" customWidth="1"/>
  </cols>
  <sheetData>
    <row r="1" spans="1:3" s="2" customFormat="1" ht="32.65" customHeight="1" thickBot="1" x14ac:dyDescent="0.35">
      <c r="A1" s="36">
        <v>53</v>
      </c>
      <c r="B1" s="1" t="s">
        <v>620</v>
      </c>
    </row>
    <row r="2" spans="1:3" x14ac:dyDescent="0.3">
      <c r="A2" s="37" t="s">
        <v>2</v>
      </c>
    </row>
    <row r="3" spans="1:3" x14ac:dyDescent="0.3">
      <c r="B3" s="3" t="s">
        <v>616</v>
      </c>
      <c r="C3" s="3" t="s">
        <v>621</v>
      </c>
    </row>
    <row r="4" spans="1:3" x14ac:dyDescent="0.3">
      <c r="B4" s="27">
        <v>45323</v>
      </c>
      <c r="C4" s="27">
        <f>EOMONTH(B4,-1)</f>
        <v>45322</v>
      </c>
    </row>
    <row r="5" spans="1:3" x14ac:dyDescent="0.3">
      <c r="B5" s="27">
        <v>45354</v>
      </c>
      <c r="C5" s="27">
        <f>EOMONTH(B5,-1)</f>
        <v>45351</v>
      </c>
    </row>
    <row r="6" spans="1:3" x14ac:dyDescent="0.3">
      <c r="B6" s="27">
        <v>45385</v>
      </c>
      <c r="C6" s="27">
        <f>EOMONTH(B6,-1)</f>
        <v>45382</v>
      </c>
    </row>
    <row r="7" spans="1:3" x14ac:dyDescent="0.3">
      <c r="B7" s="27">
        <v>45416</v>
      </c>
      <c r="C7" s="27">
        <f>EOMONTH(B7,-1)</f>
        <v>45412</v>
      </c>
    </row>
    <row r="8" spans="1:3" x14ac:dyDescent="0.3">
      <c r="B8" s="27">
        <v>45447</v>
      </c>
      <c r="C8" s="27">
        <f>EOMONTH(B8,-1)</f>
        <v>45443</v>
      </c>
    </row>
  </sheetData>
  <hyperlinks>
    <hyperlink ref="A2" location="Home!A1" display="Home" xr:uid="{5CE4E121-09A7-44EE-A9CC-EB3D63D377AC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335C-A7D0-4943-BCEC-43DDF9ABA7FB}">
  <dimension ref="A1:F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6.59765625" customWidth="1"/>
    <col min="3" max="3" width="18.19921875" customWidth="1"/>
    <col min="4" max="4" width="9.59765625" customWidth="1"/>
  </cols>
  <sheetData>
    <row r="1" spans="1:6" s="2" customFormat="1" ht="32.65" customHeight="1" thickBot="1" x14ac:dyDescent="0.35">
      <c r="A1" s="36">
        <v>54</v>
      </c>
      <c r="B1" s="1" t="s">
        <v>622</v>
      </c>
    </row>
    <row r="2" spans="1:6" x14ac:dyDescent="0.3">
      <c r="A2" s="37" t="s">
        <v>2</v>
      </c>
    </row>
    <row r="3" spans="1:6" x14ac:dyDescent="0.3">
      <c r="B3" s="3" t="s">
        <v>623</v>
      </c>
      <c r="C3" s="3" t="s">
        <v>624</v>
      </c>
      <c r="D3" s="3" t="s">
        <v>625</v>
      </c>
      <c r="E3" s="3" t="s">
        <v>626</v>
      </c>
      <c r="F3" s="3" t="s">
        <v>627</v>
      </c>
    </row>
    <row r="4" spans="1:6" x14ac:dyDescent="0.3">
      <c r="B4" s="27">
        <v>36557</v>
      </c>
      <c r="C4" s="27">
        <f ca="1">TODAY()</f>
        <v>46212</v>
      </c>
      <c r="D4" s="4">
        <f ca="1">DATEDIF(B4,C4,"y")</f>
        <v>26</v>
      </c>
      <c r="E4" s="4">
        <f ca="1">DATEDIF(B4,C4,"m")</f>
        <v>317</v>
      </c>
      <c r="F4" s="4">
        <f ca="1">DATEDIF(B4,C4,"d")</f>
        <v>9655</v>
      </c>
    </row>
    <row r="5" spans="1:6" x14ac:dyDescent="0.3">
      <c r="B5" s="27">
        <v>43893</v>
      </c>
      <c r="C5" s="27">
        <f ca="1">TODAY()</f>
        <v>46212</v>
      </c>
      <c r="D5" s="4">
        <f ca="1">DATEDIF(B5,C5,"y")</f>
        <v>6</v>
      </c>
      <c r="E5" s="4">
        <f ca="1">DATEDIF(B5,C5,"m")</f>
        <v>76</v>
      </c>
      <c r="F5" s="4">
        <f ca="1">DATEDIF(B5,C5,"d")</f>
        <v>2319</v>
      </c>
    </row>
    <row r="6" spans="1:6" x14ac:dyDescent="0.3">
      <c r="B6" s="27">
        <v>37349</v>
      </c>
      <c r="C6" s="27">
        <f ca="1">TODAY()</f>
        <v>46212</v>
      </c>
      <c r="D6" s="4">
        <f ca="1">DATEDIF(B6,C6,"y")</f>
        <v>24</v>
      </c>
      <c r="E6" s="4">
        <f ca="1">DATEDIF(B6,C6,"m")</f>
        <v>291</v>
      </c>
      <c r="F6" s="4">
        <f ca="1">DATEDIF(B6,C6,"d")</f>
        <v>8863</v>
      </c>
    </row>
    <row r="7" spans="1:6" x14ac:dyDescent="0.3">
      <c r="B7" s="27">
        <v>39210</v>
      </c>
      <c r="C7" s="27">
        <f ca="1">TODAY()</f>
        <v>46212</v>
      </c>
      <c r="D7" s="4">
        <f ca="1">DATEDIF(B7,C7,"y")</f>
        <v>19</v>
      </c>
      <c r="E7" s="4">
        <f ca="1">DATEDIF(B7,C7,"m")</f>
        <v>230</v>
      </c>
      <c r="F7" s="4">
        <f ca="1">DATEDIF(B7,C7,"d")</f>
        <v>7002</v>
      </c>
    </row>
    <row r="8" spans="1:6" x14ac:dyDescent="0.3">
      <c r="B8" s="27">
        <v>38142</v>
      </c>
      <c r="C8" s="27">
        <f ca="1">TODAY()</f>
        <v>46212</v>
      </c>
      <c r="D8" s="4">
        <f ca="1">DATEDIF(B8,C8,"y")</f>
        <v>22</v>
      </c>
      <c r="E8" s="4">
        <f ca="1">DATEDIF(B8,C8,"m")</f>
        <v>265</v>
      </c>
      <c r="F8" s="4">
        <f ca="1">DATEDIF(B8,C8,"d")</f>
        <v>8070</v>
      </c>
    </row>
  </sheetData>
  <hyperlinks>
    <hyperlink ref="A2" location="Home!A1" display="Home" xr:uid="{754F3782-BC67-4AF2-A508-FD7F99F9E347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0E46-7FC6-48EB-93D1-C4C890875F20}">
  <dimension ref="A1:G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6" max="6" width="5.3984375" customWidth="1"/>
    <col min="7" max="7" width="19" customWidth="1"/>
  </cols>
  <sheetData>
    <row r="1" spans="1:7" s="2" customFormat="1" ht="32.65" customHeight="1" thickBot="1" x14ac:dyDescent="0.35">
      <c r="A1" s="36">
        <v>55</v>
      </c>
      <c r="B1" s="1" t="s">
        <v>628</v>
      </c>
    </row>
    <row r="2" spans="1:7" x14ac:dyDescent="0.3">
      <c r="A2" s="37" t="s">
        <v>2</v>
      </c>
    </row>
    <row r="3" spans="1:7" x14ac:dyDescent="0.3">
      <c r="B3" s="3" t="s">
        <v>612</v>
      </c>
      <c r="C3" s="3" t="s">
        <v>629</v>
      </c>
      <c r="D3" s="3" t="s">
        <v>613</v>
      </c>
      <c r="G3" s="42" t="s">
        <v>630</v>
      </c>
    </row>
    <row r="4" spans="1:7" x14ac:dyDescent="0.3">
      <c r="B4" s="27">
        <v>45293</v>
      </c>
      <c r="C4" s="4">
        <v>25</v>
      </c>
      <c r="D4" s="27">
        <f>WORKDAY(B4,C4,$G$4:$G$7)</f>
        <v>45329</v>
      </c>
      <c r="G4" s="58">
        <v>45317</v>
      </c>
    </row>
    <row r="5" spans="1:7" x14ac:dyDescent="0.3">
      <c r="B5" s="27">
        <v>45354</v>
      </c>
      <c r="C5" s="4">
        <v>5</v>
      </c>
      <c r="D5" s="27">
        <f>WORKDAY(B5,C5,$G$4:$G$7)</f>
        <v>45359</v>
      </c>
      <c r="G5" s="57">
        <v>45519</v>
      </c>
    </row>
    <row r="6" spans="1:7" x14ac:dyDescent="0.3">
      <c r="B6" s="27">
        <v>45385</v>
      </c>
      <c r="C6" s="4">
        <v>3</v>
      </c>
      <c r="D6" s="27">
        <f>WORKDAY(B6,C6,$G$4:$G$7)</f>
        <v>45390</v>
      </c>
      <c r="G6" s="27">
        <v>45932</v>
      </c>
    </row>
    <row r="7" spans="1:7" x14ac:dyDescent="0.3">
      <c r="B7" s="27">
        <v>45416</v>
      </c>
      <c r="C7" s="4">
        <v>2</v>
      </c>
      <c r="D7" s="27">
        <f>WORKDAY(B7,C7,$G$4:$G$7)</f>
        <v>45419</v>
      </c>
      <c r="G7" s="4"/>
    </row>
    <row r="8" spans="1:7" x14ac:dyDescent="0.3">
      <c r="B8" s="27">
        <v>45447</v>
      </c>
      <c r="C8" s="4">
        <v>10</v>
      </c>
      <c r="D8" s="27">
        <f>WORKDAY(B8,C8,$G$4:$G$7)</f>
        <v>45461</v>
      </c>
    </row>
  </sheetData>
  <hyperlinks>
    <hyperlink ref="A2" location="Home!A1" display="Home" xr:uid="{5BDFAEDF-1541-46B5-8DFB-72429DF4254E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0773-7C01-4678-A0CF-F3B10C942C29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7" max="7" width="19" customWidth="1"/>
  </cols>
  <sheetData>
    <row r="1" spans="1:7" s="2" customFormat="1" ht="32.65" customHeight="1" thickBot="1" x14ac:dyDescent="0.35">
      <c r="A1" s="36">
        <v>56</v>
      </c>
      <c r="B1" s="1" t="s">
        <v>631</v>
      </c>
    </row>
    <row r="2" spans="1:7" x14ac:dyDescent="0.3">
      <c r="A2" s="37" t="s">
        <v>2</v>
      </c>
    </row>
    <row r="3" spans="1:7" x14ac:dyDescent="0.3">
      <c r="B3" s="3" t="s">
        <v>612</v>
      </c>
      <c r="C3" s="3" t="s">
        <v>632</v>
      </c>
      <c r="D3" s="3" t="s">
        <v>613</v>
      </c>
      <c r="G3" s="42" t="s">
        <v>630</v>
      </c>
    </row>
    <row r="4" spans="1:7" x14ac:dyDescent="0.3">
      <c r="B4" s="27">
        <v>45323</v>
      </c>
      <c r="C4" s="4">
        <v>10</v>
      </c>
      <c r="D4" s="27">
        <f>WORKDAY.INTL(B4,C4,11,$G$4:$G$7)</f>
        <v>45335</v>
      </c>
      <c r="E4">
        <f>NETWORKDAYS.INTL(B4,D4,11)</f>
        <v>11</v>
      </c>
      <c r="G4" s="58">
        <v>45317</v>
      </c>
    </row>
    <row r="5" spans="1:7" x14ac:dyDescent="0.3">
      <c r="B5" s="27">
        <v>45354</v>
      </c>
      <c r="C5" s="4">
        <v>5</v>
      </c>
      <c r="D5" s="27">
        <f>WORKDAY.INTL(B5,C5,11,$G$4:$G$7)</f>
        <v>45359</v>
      </c>
      <c r="G5" s="57">
        <v>45519</v>
      </c>
    </row>
    <row r="6" spans="1:7" x14ac:dyDescent="0.3">
      <c r="B6" s="27">
        <v>45385</v>
      </c>
      <c r="C6" s="4">
        <v>3</v>
      </c>
      <c r="D6" s="27">
        <f>WORKDAY.INTL(B6,C6,11,$G$4:$G$7)</f>
        <v>45388</v>
      </c>
      <c r="G6" s="27">
        <v>45932</v>
      </c>
    </row>
    <row r="7" spans="1:7" x14ac:dyDescent="0.3">
      <c r="B7" s="27">
        <v>45416</v>
      </c>
      <c r="C7" s="4">
        <v>2</v>
      </c>
      <c r="D7" s="27">
        <f>WORKDAY.INTL(B7,C7,11,$G$4:$G$7)</f>
        <v>45419</v>
      </c>
      <c r="G7" s="4"/>
    </row>
    <row r="8" spans="1:7" x14ac:dyDescent="0.3">
      <c r="B8" s="27">
        <v>45447</v>
      </c>
      <c r="C8" s="4">
        <v>10</v>
      </c>
      <c r="D8" s="27">
        <f>WORKDAY.INTL(B8,C8,11,$G$4:$G$7)</f>
        <v>45458</v>
      </c>
    </row>
  </sheetData>
  <hyperlinks>
    <hyperlink ref="A2" location="Home!A1" display="Home" xr:uid="{E66C0CA9-DC2E-4F4F-80B6-8F4099E7ECE0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4A37-0E59-4A28-8192-A460BE6657A5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6" max="6" width="16.296875" customWidth="1"/>
    <col min="7" max="7" width="19" customWidth="1"/>
  </cols>
  <sheetData>
    <row r="1" spans="1:7" s="2" customFormat="1" ht="32.65" customHeight="1" thickBot="1" x14ac:dyDescent="0.35">
      <c r="A1" s="36">
        <v>57</v>
      </c>
      <c r="B1" s="1" t="s">
        <v>633</v>
      </c>
    </row>
    <row r="2" spans="1:7" x14ac:dyDescent="0.3">
      <c r="A2" s="37" t="s">
        <v>2</v>
      </c>
    </row>
    <row r="3" spans="1:7" x14ac:dyDescent="0.3">
      <c r="B3" s="3" t="s">
        <v>612</v>
      </c>
      <c r="C3" s="3" t="s">
        <v>634</v>
      </c>
      <c r="D3" s="3" t="s">
        <v>635</v>
      </c>
      <c r="G3" s="3" t="s">
        <v>630</v>
      </c>
    </row>
    <row r="4" spans="1:7" x14ac:dyDescent="0.3">
      <c r="B4" s="27">
        <v>45292</v>
      </c>
      <c r="C4" s="27">
        <v>45319</v>
      </c>
      <c r="D4" s="4">
        <f>NETWORKDAYS(B4,C4,$G$4:$G$7)</f>
        <v>19</v>
      </c>
      <c r="E4">
        <f>NETWORKDAYS(B4,C4,G4)</f>
        <v>19</v>
      </c>
      <c r="G4" s="30">
        <v>45317</v>
      </c>
    </row>
    <row r="5" spans="1:7" x14ac:dyDescent="0.3">
      <c r="B5" s="27">
        <v>45354</v>
      </c>
      <c r="C5" s="27">
        <v>45397</v>
      </c>
      <c r="D5" s="4">
        <f>NETWORKDAYS(B5,C5,$G$4:$G$7)</f>
        <v>31</v>
      </c>
      <c r="G5" s="27">
        <v>45519</v>
      </c>
    </row>
    <row r="6" spans="1:7" x14ac:dyDescent="0.3">
      <c r="B6" s="27">
        <v>45385</v>
      </c>
      <c r="C6" s="27">
        <v>45394</v>
      </c>
      <c r="D6" s="4">
        <f>NETWORKDAYS(B6,C6,$G$4:$G$7)</f>
        <v>8</v>
      </c>
      <c r="G6" s="27">
        <v>45932</v>
      </c>
    </row>
    <row r="7" spans="1:7" x14ac:dyDescent="0.3">
      <c r="B7" s="27">
        <v>45325</v>
      </c>
      <c r="C7" s="27">
        <v>45337</v>
      </c>
      <c r="D7" s="4">
        <f>NETWORKDAYS(B7,C7,$G$4:$G$7)</f>
        <v>9</v>
      </c>
      <c r="G7" s="4"/>
    </row>
    <row r="8" spans="1:7" x14ac:dyDescent="0.3">
      <c r="B8" s="27">
        <v>45354</v>
      </c>
      <c r="C8" s="27">
        <v>45368</v>
      </c>
      <c r="D8" s="4">
        <f>NETWORKDAYS(B8,C8,$G$4:$G$7)</f>
        <v>10</v>
      </c>
    </row>
  </sheetData>
  <hyperlinks>
    <hyperlink ref="A2" location="Home!A1" display="Home" xr:uid="{942010A4-0307-4B4F-86CF-926D5A2AF599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266C4-B4DA-4F0D-B342-F5799A7D7D9D}">
  <dimension ref="A1:G8"/>
  <sheetViews>
    <sheetView zoomScale="130" zoomScaleNormal="130" workbookViewId="0">
      <pane ySplit="1" topLeftCell="A2" activePane="bottomLeft" state="frozen"/>
      <selection pane="bottomLeft" activeCell="D8" sqref="D8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7" max="7" width="19" customWidth="1"/>
  </cols>
  <sheetData>
    <row r="1" spans="1:7" s="2" customFormat="1" ht="32.65" customHeight="1" thickBot="1" x14ac:dyDescent="0.35">
      <c r="A1" s="36">
        <v>58</v>
      </c>
      <c r="B1" s="1" t="s">
        <v>636</v>
      </c>
    </row>
    <row r="2" spans="1:7" x14ac:dyDescent="0.3">
      <c r="A2" s="37" t="s">
        <v>2</v>
      </c>
    </row>
    <row r="3" spans="1:7" x14ac:dyDescent="0.3">
      <c r="B3" s="3" t="s">
        <v>612</v>
      </c>
      <c r="C3" s="3" t="s">
        <v>634</v>
      </c>
      <c r="D3" s="3" t="s">
        <v>613</v>
      </c>
      <c r="G3" s="3" t="s">
        <v>630</v>
      </c>
    </row>
    <row r="4" spans="1:7" x14ac:dyDescent="0.3">
      <c r="B4" s="27">
        <v>45292</v>
      </c>
      <c r="C4" s="27">
        <v>45319</v>
      </c>
      <c r="D4" s="4">
        <f>NETWORKDAYS.INTL(B4,C4,11,$G$4:$G$7)</f>
        <v>23</v>
      </c>
      <c r="G4" s="30">
        <v>45317</v>
      </c>
    </row>
    <row r="5" spans="1:7" x14ac:dyDescent="0.3">
      <c r="B5" s="27">
        <v>45354</v>
      </c>
      <c r="C5" s="27">
        <v>45337</v>
      </c>
      <c r="D5" s="4"/>
      <c r="G5" s="27">
        <v>45519</v>
      </c>
    </row>
    <row r="6" spans="1:7" x14ac:dyDescent="0.3">
      <c r="B6" s="27">
        <v>45385</v>
      </c>
      <c r="C6" s="27">
        <v>45394</v>
      </c>
      <c r="D6" s="4"/>
      <c r="G6" s="27">
        <v>45932</v>
      </c>
    </row>
    <row r="7" spans="1:7" x14ac:dyDescent="0.3">
      <c r="B7" s="27">
        <v>45354</v>
      </c>
      <c r="C7" s="27">
        <v>45337</v>
      </c>
      <c r="D7" s="4"/>
      <c r="G7" s="4"/>
    </row>
    <row r="8" spans="1:7" x14ac:dyDescent="0.3">
      <c r="B8" s="27">
        <v>45354</v>
      </c>
      <c r="C8" s="27">
        <v>45339</v>
      </c>
      <c r="D8" s="4"/>
    </row>
  </sheetData>
  <hyperlinks>
    <hyperlink ref="A2" location="Home!A1" display="Home" xr:uid="{01A22BB7-CA68-4D74-8D01-B273EBC30ADB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7CAE-0371-4922-8028-685912472E44}">
  <dimension ref="A1:J21"/>
  <sheetViews>
    <sheetView zoomScale="130" zoomScaleNormal="130" workbookViewId="0">
      <pane ySplit="1" topLeftCell="A15" activePane="bottomLeft" state="frozen"/>
      <selection pane="bottomLeft" activeCell="A15" sqref="A15"/>
    </sheetView>
  </sheetViews>
  <sheetFormatPr defaultRowHeight="18.75" x14ac:dyDescent="0.3"/>
  <cols>
    <col min="2" max="2" width="15.19921875" customWidth="1"/>
    <col min="3" max="3" width="10.19921875" customWidth="1"/>
    <col min="4" max="4" width="10.69921875" bestFit="1" customWidth="1"/>
    <col min="5" max="5" width="3.5" customWidth="1"/>
    <col min="6" max="6" width="13.19921875" customWidth="1"/>
    <col min="7" max="7" width="9.59765625" customWidth="1"/>
    <col min="8" max="8" width="25.5" customWidth="1"/>
    <col min="10" max="10" width="12.69921875" bestFit="1" customWidth="1"/>
  </cols>
  <sheetData>
    <row r="1" spans="1:10" s="2" customFormat="1" ht="32.65" customHeight="1" thickBot="1" x14ac:dyDescent="0.35">
      <c r="A1" s="36">
        <v>59</v>
      </c>
      <c r="B1" s="1" t="s">
        <v>637</v>
      </c>
    </row>
    <row r="2" spans="1:10" x14ac:dyDescent="0.3">
      <c r="A2" s="37" t="s">
        <v>2</v>
      </c>
    </row>
    <row r="3" spans="1:10" x14ac:dyDescent="0.3">
      <c r="B3" s="42" t="s">
        <v>638</v>
      </c>
      <c r="C3" s="3" t="s">
        <v>639</v>
      </c>
      <c r="D3" s="3" t="s">
        <v>640</v>
      </c>
      <c r="F3" s="42" t="s">
        <v>638</v>
      </c>
      <c r="G3" s="3" t="s">
        <v>639</v>
      </c>
      <c r="H3" s="3" t="s">
        <v>641</v>
      </c>
      <c r="J3" s="38"/>
    </row>
    <row r="4" spans="1:10" x14ac:dyDescent="0.3">
      <c r="B4" s="39" t="s">
        <v>642</v>
      </c>
      <c r="C4" s="43">
        <v>34</v>
      </c>
      <c r="D4" s="4" t="str">
        <f>IF(C4&gt;=40,"Pass","Fail")</f>
        <v>Fail</v>
      </c>
      <c r="F4" s="39" t="s">
        <v>642</v>
      </c>
      <c r="G4" s="43">
        <v>34</v>
      </c>
      <c r="H4" s="4">
        <f>IF(G4&lt;40,G4+5,G4)</f>
        <v>39</v>
      </c>
    </row>
    <row r="5" spans="1:10" x14ac:dyDescent="0.3">
      <c r="B5" s="39" t="s">
        <v>643</v>
      </c>
      <c r="C5" s="43">
        <v>54</v>
      </c>
      <c r="D5" s="4" t="str">
        <f>IF(C5&gt;=40,"Pass","Fail")</f>
        <v>Pass</v>
      </c>
      <c r="F5" s="39" t="s">
        <v>643</v>
      </c>
      <c r="G5" s="43">
        <v>54</v>
      </c>
      <c r="H5" s="4">
        <f>IF(G5&lt;40,G5+5,G5)</f>
        <v>54</v>
      </c>
    </row>
    <row r="6" spans="1:10" x14ac:dyDescent="0.3">
      <c r="B6" s="39" t="s">
        <v>644</v>
      </c>
      <c r="C6" s="43">
        <v>33</v>
      </c>
      <c r="D6" s="4" t="str">
        <f>IF(C6&gt;=40,"Pass","Fail")</f>
        <v>Fail</v>
      </c>
      <c r="F6" s="39" t="s">
        <v>644</v>
      </c>
      <c r="G6" s="43">
        <v>87</v>
      </c>
      <c r="H6" s="4">
        <f>IF(G6&lt;40,G6+5,G6)</f>
        <v>87</v>
      </c>
    </row>
    <row r="7" spans="1:10" x14ac:dyDescent="0.3">
      <c r="B7" s="39" t="s">
        <v>645</v>
      </c>
      <c r="C7" s="43">
        <v>55</v>
      </c>
      <c r="D7" s="4" t="str">
        <f>IF(C7&gt;=40,"Pass","Fail")</f>
        <v>Pass</v>
      </c>
      <c r="F7" s="39" t="s">
        <v>645</v>
      </c>
      <c r="G7" s="43">
        <v>55</v>
      </c>
      <c r="H7" s="4">
        <f>IF(G7&lt;40,G7+5,G7)</f>
        <v>55</v>
      </c>
    </row>
    <row r="8" spans="1:10" x14ac:dyDescent="0.3">
      <c r="B8" s="39" t="s">
        <v>646</v>
      </c>
      <c r="C8" s="43">
        <v>13</v>
      </c>
      <c r="D8" s="4" t="str">
        <f>IF(C8&gt;=40,"Pass","Fail")</f>
        <v>Fail</v>
      </c>
      <c r="F8" s="56" t="s">
        <v>646</v>
      </c>
      <c r="G8" s="43">
        <v>13</v>
      </c>
      <c r="H8" s="4">
        <f>IF(G8&lt;40,G8+5,G8)</f>
        <v>18</v>
      </c>
    </row>
    <row r="10" spans="1:10" x14ac:dyDescent="0.3">
      <c r="B10" s="42" t="s">
        <v>638</v>
      </c>
      <c r="C10" s="3" t="s">
        <v>639</v>
      </c>
      <c r="D10" s="3" t="s">
        <v>647</v>
      </c>
      <c r="F10" s="42" t="s">
        <v>638</v>
      </c>
      <c r="G10" s="3" t="s">
        <v>639</v>
      </c>
      <c r="H10" s="3" t="s">
        <v>648</v>
      </c>
    </row>
    <row r="11" spans="1:10" x14ac:dyDescent="0.3">
      <c r="B11" s="39" t="s">
        <v>642</v>
      </c>
      <c r="C11" s="43">
        <v>56</v>
      </c>
      <c r="D11" s="4" t="str">
        <f>IF(C11&lt;40,B11,"")</f>
        <v/>
      </c>
      <c r="F11" s="39" t="s">
        <v>642</v>
      </c>
      <c r="G11" s="43">
        <v>34</v>
      </c>
      <c r="H11" s="4" t="str">
        <f>IF(G11&gt;=40,"✔️","❌")</f>
        <v>❌</v>
      </c>
    </row>
    <row r="12" spans="1:10" x14ac:dyDescent="0.3">
      <c r="B12" s="39" t="s">
        <v>643</v>
      </c>
      <c r="C12" s="43">
        <v>12</v>
      </c>
      <c r="D12" s="4" t="str">
        <f>IF(C12&lt;40,B12,"")</f>
        <v>Ritesh S.</v>
      </c>
      <c r="F12" s="39" t="s">
        <v>643</v>
      </c>
      <c r="G12" s="43">
        <v>54</v>
      </c>
      <c r="H12" s="4" t="str">
        <f>IF(G12&gt;=40,"✔️","❌")</f>
        <v>✔️</v>
      </c>
    </row>
    <row r="13" spans="1:10" x14ac:dyDescent="0.3">
      <c r="B13" s="39" t="s">
        <v>644</v>
      </c>
      <c r="C13" s="43">
        <v>13</v>
      </c>
      <c r="D13" s="4" t="str">
        <f>IF(C13&lt;40,B13,"")</f>
        <v>Naveen Yadav</v>
      </c>
      <c r="F13" s="39" t="s">
        <v>644</v>
      </c>
      <c r="G13" s="43">
        <v>87</v>
      </c>
      <c r="H13" s="4" t="str">
        <f>IF(G13&gt;=40,"✔️","❌")</f>
        <v>✔️</v>
      </c>
    </row>
    <row r="14" spans="1:10" x14ac:dyDescent="0.3">
      <c r="B14" s="39" t="s">
        <v>645</v>
      </c>
      <c r="C14" s="43">
        <v>44</v>
      </c>
      <c r="D14" s="4" t="str">
        <f>IF(C14&lt;40,B14,"")</f>
        <v/>
      </c>
      <c r="F14" s="39" t="s">
        <v>645</v>
      </c>
      <c r="G14" s="43">
        <v>55</v>
      </c>
      <c r="H14" s="4" t="str">
        <f>IF(G14&gt;=40,"✔️","❌")</f>
        <v>✔️</v>
      </c>
    </row>
    <row r="15" spans="1:10" x14ac:dyDescent="0.3">
      <c r="A15" s="37" t="s">
        <v>2</v>
      </c>
    </row>
    <row r="16" spans="1:10" x14ac:dyDescent="0.3">
      <c r="B16" s="3" t="s">
        <v>638</v>
      </c>
      <c r="C16" s="3" t="s">
        <v>649</v>
      </c>
      <c r="D16" s="146" t="s">
        <v>650</v>
      </c>
      <c r="E16" s="146"/>
      <c r="F16" s="146"/>
    </row>
    <row r="17" spans="2:6" x14ac:dyDescent="0.3">
      <c r="B17" s="27" t="s">
        <v>651</v>
      </c>
      <c r="C17" s="4" t="s">
        <v>652</v>
      </c>
      <c r="D17" s="145" t="str">
        <f>IF(C17="male","Mr. "&amp;B17,"Mis "&amp;B17)</f>
        <v>Mr. Raj Kumar</v>
      </c>
      <c r="E17" s="145"/>
      <c r="F17" s="145"/>
    </row>
    <row r="18" spans="2:6" x14ac:dyDescent="0.3">
      <c r="B18" s="27" t="s">
        <v>500</v>
      </c>
      <c r="C18" s="4" t="s">
        <v>653</v>
      </c>
      <c r="D18" s="145" t="str">
        <f>IF(C18="male","Mr. "&amp;B18,"Mis "&amp;B18)</f>
        <v>Mis Tejal</v>
      </c>
      <c r="E18" s="145"/>
      <c r="F18" s="145"/>
    </row>
    <row r="19" spans="2:6" x14ac:dyDescent="0.3">
      <c r="B19" s="27" t="s">
        <v>654</v>
      </c>
      <c r="C19" s="4" t="s">
        <v>652</v>
      </c>
      <c r="D19" s="145" t="str">
        <f>IF(C19="male","Mr. "&amp;B19,"Mis "&amp;B19)</f>
        <v>Mr. Anil Kumar</v>
      </c>
      <c r="E19" s="145"/>
      <c r="F19" s="145"/>
    </row>
    <row r="20" spans="2:6" x14ac:dyDescent="0.3">
      <c r="B20" s="27" t="s">
        <v>655</v>
      </c>
      <c r="C20" s="4" t="s">
        <v>653</v>
      </c>
      <c r="D20" s="145" t="str">
        <f>IF(C20="male","Mr. "&amp;B20,"Mis "&amp;B20)</f>
        <v>Mis Reena</v>
      </c>
      <c r="E20" s="145"/>
      <c r="F20" s="145"/>
    </row>
    <row r="21" spans="2:6" x14ac:dyDescent="0.3">
      <c r="B21" s="27" t="s">
        <v>545</v>
      </c>
      <c r="C21" s="4" t="s">
        <v>652</v>
      </c>
      <c r="D21" s="145" t="str">
        <f>IF(C21="male","Mr. "&amp;B21,"Mis "&amp;B21)</f>
        <v>Mr. Deepak</v>
      </c>
      <c r="E21" s="145"/>
      <c r="F21" s="145"/>
    </row>
  </sheetData>
  <mergeCells count="6">
    <mergeCell ref="D21:F21"/>
    <mergeCell ref="D16:F16"/>
    <mergeCell ref="D17:F17"/>
    <mergeCell ref="D18:F18"/>
    <mergeCell ref="D19:F19"/>
    <mergeCell ref="D20:F20"/>
  </mergeCells>
  <hyperlinks>
    <hyperlink ref="A2" location="Home!A1" display="Home" xr:uid="{45C78410-9051-4646-AF4E-FAE554B74950}"/>
    <hyperlink ref="A15" location="Home!A1" display="Home" xr:uid="{210CF820-7AC2-4A9B-9E44-6558D1679437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6A6F-F046-490C-93D3-2F0779A2E91C}">
  <dimension ref="A1:G26"/>
  <sheetViews>
    <sheetView zoomScale="130" zoomScaleNormal="130" workbookViewId="0">
      <pane ySplit="1" topLeftCell="A17" activePane="bottomLeft" state="frozen"/>
      <selection pane="bottomLeft" activeCell="A14" sqref="A14"/>
    </sheetView>
  </sheetViews>
  <sheetFormatPr defaultRowHeight="18.75" x14ac:dyDescent="0.3"/>
  <cols>
    <col min="2" max="2" width="14.796875" customWidth="1"/>
    <col min="3" max="3" width="10.796875" customWidth="1"/>
    <col min="4" max="5" width="10.19921875" customWidth="1"/>
    <col min="6" max="6" width="20.3984375" customWidth="1"/>
    <col min="7" max="7" width="18.59765625" customWidth="1"/>
  </cols>
  <sheetData>
    <row r="1" spans="1:7" s="2" customFormat="1" ht="32.65" customHeight="1" thickBot="1" x14ac:dyDescent="0.35">
      <c r="A1" s="36">
        <v>60</v>
      </c>
      <c r="B1" s="1" t="s">
        <v>656</v>
      </c>
    </row>
    <row r="2" spans="1:7" x14ac:dyDescent="0.3">
      <c r="A2" s="37" t="s">
        <v>2</v>
      </c>
    </row>
    <row r="3" spans="1:7" x14ac:dyDescent="0.3">
      <c r="B3" s="42" t="s">
        <v>638</v>
      </c>
      <c r="C3" s="3" t="s">
        <v>193</v>
      </c>
      <c r="D3" s="3" t="s">
        <v>194</v>
      </c>
      <c r="E3" s="3" t="s">
        <v>195</v>
      </c>
      <c r="F3" s="3" t="s">
        <v>640</v>
      </c>
    </row>
    <row r="4" spans="1:7" x14ac:dyDescent="0.3">
      <c r="B4" s="39" t="s">
        <v>657</v>
      </c>
      <c r="C4" s="43">
        <v>66</v>
      </c>
      <c r="D4" s="4">
        <v>55</v>
      </c>
      <c r="E4" s="4">
        <v>44</v>
      </c>
      <c r="F4" s="4" t="str">
        <f>IF(AND(C4&gt;=40,D4&gt;=40,E4&gt;=40),"pass","fail")</f>
        <v>pass</v>
      </c>
      <c r="G4" t="b">
        <f>AND(C4&gt;=40,D4&gt;=40,E4&gt;=40)</f>
        <v>1</v>
      </c>
    </row>
    <row r="5" spans="1:7" x14ac:dyDescent="0.3">
      <c r="B5" s="39" t="s">
        <v>658</v>
      </c>
      <c r="C5" s="43">
        <v>54</v>
      </c>
      <c r="D5" s="4">
        <v>33</v>
      </c>
      <c r="E5" s="4">
        <v>44</v>
      </c>
      <c r="F5" s="4" t="str">
        <f>IF(AND(C5&gt;=40,D5&gt;=40,E5&gt;=40),"pass","fail")</f>
        <v>fail</v>
      </c>
    </row>
    <row r="6" spans="1:7" x14ac:dyDescent="0.3">
      <c r="B6" s="39" t="s">
        <v>659</v>
      </c>
      <c r="C6" s="43">
        <v>87</v>
      </c>
      <c r="D6" s="4">
        <v>76</v>
      </c>
      <c r="E6" s="4">
        <v>56</v>
      </c>
      <c r="F6" s="4" t="str">
        <f>IF(AND(C6&gt;=40,D6&gt;=40,E6&gt;=40),"pass","fail")</f>
        <v>pass</v>
      </c>
    </row>
    <row r="7" spans="1:7" x14ac:dyDescent="0.3">
      <c r="B7" s="39" t="s">
        <v>660</v>
      </c>
      <c r="C7" s="43">
        <v>55</v>
      </c>
      <c r="D7" s="4">
        <v>56</v>
      </c>
      <c r="E7" s="4">
        <v>34</v>
      </c>
      <c r="F7" s="4" t="str">
        <f>IF(AND(C7&gt;=40,D7&gt;=40,E7&gt;=40),"pass","fail")</f>
        <v>fail</v>
      </c>
    </row>
    <row r="8" spans="1:7" x14ac:dyDescent="0.3">
      <c r="B8" s="39" t="s">
        <v>661</v>
      </c>
      <c r="C8" s="43">
        <v>13</v>
      </c>
      <c r="D8" s="4">
        <v>65</v>
      </c>
      <c r="E8" s="4">
        <v>27</v>
      </c>
      <c r="F8" s="4" t="str">
        <f>IF(AND(C8&gt;=40,D8&gt;=40,E8&gt;=40),"pass","fail")</f>
        <v>fail</v>
      </c>
    </row>
    <row r="10" spans="1:7" x14ac:dyDescent="0.3">
      <c r="B10" s="30" t="s">
        <v>662</v>
      </c>
    </row>
    <row r="14" spans="1:7" x14ac:dyDescent="0.3">
      <c r="A14" s="37" t="s">
        <v>2</v>
      </c>
    </row>
    <row r="16" spans="1:7" x14ac:dyDescent="0.3">
      <c r="B16" s="3" t="s">
        <v>663</v>
      </c>
      <c r="C16" s="3" t="s">
        <v>664</v>
      </c>
      <c r="D16" s="3" t="s">
        <v>84</v>
      </c>
      <c r="E16" s="3" t="s">
        <v>665</v>
      </c>
      <c r="F16" s="3" t="s">
        <v>666</v>
      </c>
    </row>
    <row r="17" spans="2:6" x14ac:dyDescent="0.3">
      <c r="B17" s="27" t="s">
        <v>651</v>
      </c>
      <c r="C17" s="4" t="s">
        <v>667</v>
      </c>
      <c r="D17" s="4" t="s">
        <v>90</v>
      </c>
      <c r="E17" s="4">
        <v>10000</v>
      </c>
      <c r="F17" s="4" t="str">
        <f>IF(AND(C17="it",E17&gt;20000),1000,"")</f>
        <v/>
      </c>
    </row>
    <row r="18" spans="2:6" x14ac:dyDescent="0.3">
      <c r="B18" s="27" t="s">
        <v>668</v>
      </c>
      <c r="C18" s="4" t="s">
        <v>669</v>
      </c>
      <c r="D18" s="4" t="s">
        <v>92</v>
      </c>
      <c r="E18" s="4">
        <v>15000</v>
      </c>
      <c r="F18" s="4" t="str">
        <f t="shared" ref="F18:F24" si="0">IF(AND(C18="it",E18&gt;20000),1000,"")</f>
        <v/>
      </c>
    </row>
    <row r="19" spans="2:6" x14ac:dyDescent="0.3">
      <c r="B19" s="27" t="s">
        <v>654</v>
      </c>
      <c r="C19" s="4" t="s">
        <v>667</v>
      </c>
      <c r="D19" s="4" t="s">
        <v>90</v>
      </c>
      <c r="E19" s="4">
        <v>22000</v>
      </c>
      <c r="F19" s="4">
        <f t="shared" si="0"/>
        <v>1000</v>
      </c>
    </row>
    <row r="20" spans="2:6" x14ac:dyDescent="0.3">
      <c r="B20" s="27" t="s">
        <v>408</v>
      </c>
      <c r="C20" s="4" t="s">
        <v>667</v>
      </c>
      <c r="D20" s="4" t="s">
        <v>94</v>
      </c>
      <c r="E20" s="4">
        <v>5000</v>
      </c>
      <c r="F20" s="4" t="str">
        <f t="shared" si="0"/>
        <v/>
      </c>
    </row>
    <row r="21" spans="2:6" x14ac:dyDescent="0.3">
      <c r="B21" s="27" t="s">
        <v>545</v>
      </c>
      <c r="C21" s="4" t="s">
        <v>670</v>
      </c>
      <c r="D21" s="4" t="s">
        <v>117</v>
      </c>
      <c r="E21" s="4">
        <v>11000</v>
      </c>
      <c r="F21" s="4" t="str">
        <f t="shared" si="0"/>
        <v/>
      </c>
    </row>
    <row r="22" spans="2:6" x14ac:dyDescent="0.3">
      <c r="B22" s="27" t="s">
        <v>408</v>
      </c>
      <c r="C22" s="4" t="s">
        <v>670</v>
      </c>
      <c r="D22" s="4" t="s">
        <v>94</v>
      </c>
      <c r="E22" s="4">
        <v>7000</v>
      </c>
      <c r="F22" s="4" t="str">
        <f t="shared" si="0"/>
        <v/>
      </c>
    </row>
    <row r="23" spans="2:6" x14ac:dyDescent="0.3">
      <c r="B23" s="27" t="s">
        <v>545</v>
      </c>
      <c r="C23" s="4" t="s">
        <v>667</v>
      </c>
      <c r="D23" s="4" t="s">
        <v>94</v>
      </c>
      <c r="E23" s="4">
        <v>25000</v>
      </c>
      <c r="F23" s="4">
        <f t="shared" si="0"/>
        <v>1000</v>
      </c>
    </row>
    <row r="24" spans="2:6" x14ac:dyDescent="0.3">
      <c r="B24" s="27" t="s">
        <v>408</v>
      </c>
      <c r="C24" s="4" t="s">
        <v>667</v>
      </c>
      <c r="D24" s="4" t="s">
        <v>90</v>
      </c>
      <c r="E24" s="4">
        <v>16000</v>
      </c>
      <c r="F24" s="4" t="str">
        <f t="shared" si="0"/>
        <v/>
      </c>
    </row>
    <row r="26" spans="2:6" x14ac:dyDescent="0.3">
      <c r="B26" s="30" t="s">
        <v>671</v>
      </c>
    </row>
  </sheetData>
  <hyperlinks>
    <hyperlink ref="A2" location="Home!A1" display="Home" xr:uid="{0F497908-E2B1-40F3-B9AB-DED82811D3FE}"/>
    <hyperlink ref="A14" location="Home!A1" display="Home" xr:uid="{9C81D1CA-0975-47C5-832E-363DFD77CFDC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C52F-AE09-4816-9606-D2CA427C741A}">
  <dimension ref="A1:G26"/>
  <sheetViews>
    <sheetView zoomScale="130" zoomScaleNormal="130" workbookViewId="0">
      <pane ySplit="1" topLeftCell="A11" activePane="bottomLeft" state="frozen"/>
      <selection pane="bottomLeft" activeCell="A11" sqref="A11"/>
    </sheetView>
  </sheetViews>
  <sheetFormatPr defaultRowHeight="18.75" x14ac:dyDescent="0.3"/>
  <cols>
    <col min="2" max="2" width="14.796875" customWidth="1"/>
    <col min="3" max="3" width="10.796875" customWidth="1"/>
    <col min="4" max="4" width="25.69921875" customWidth="1"/>
    <col min="5" max="5" width="3.5" customWidth="1"/>
    <col min="7" max="7" width="13.296875" bestFit="1" customWidth="1"/>
  </cols>
  <sheetData>
    <row r="1" spans="1:7" s="2" customFormat="1" ht="32.65" customHeight="1" thickBot="1" x14ac:dyDescent="0.35">
      <c r="A1" s="36">
        <v>61</v>
      </c>
      <c r="B1" s="1" t="s">
        <v>672</v>
      </c>
    </row>
    <row r="2" spans="1:7" x14ac:dyDescent="0.3">
      <c r="A2" s="37" t="s">
        <v>2</v>
      </c>
    </row>
    <row r="3" spans="1:7" x14ac:dyDescent="0.3">
      <c r="B3" s="40" t="s">
        <v>638</v>
      </c>
      <c r="C3" s="3" t="s">
        <v>673</v>
      </c>
      <c r="D3" s="3" t="s">
        <v>674</v>
      </c>
    </row>
    <row r="4" spans="1:7" x14ac:dyDescent="0.3">
      <c r="B4" s="39" t="s">
        <v>675</v>
      </c>
      <c r="C4" s="4" t="s">
        <v>676</v>
      </c>
      <c r="D4" s="4" t="str">
        <f>IF(OR(C4="delivered",C4="cancelled"),"closed","open")</f>
        <v>closed</v>
      </c>
      <c r="F4" t="b">
        <f>OR(C4="Delivered",C4="cancelled")</f>
        <v>1</v>
      </c>
    </row>
    <row r="5" spans="1:7" x14ac:dyDescent="0.3">
      <c r="B5" s="39" t="s">
        <v>677</v>
      </c>
      <c r="C5" s="4" t="s">
        <v>678</v>
      </c>
      <c r="D5" s="4" t="str">
        <f>IF(OR(C5="delivered",C5="cancelled"),"closed","open")</f>
        <v>closed</v>
      </c>
      <c r="F5" t="b">
        <f>OR(C5="Delivered",C5="cancelled")</f>
        <v>1</v>
      </c>
    </row>
    <row r="6" spans="1:7" x14ac:dyDescent="0.3">
      <c r="B6" s="39" t="s">
        <v>679</v>
      </c>
      <c r="C6" s="4" t="s">
        <v>680</v>
      </c>
      <c r="D6" s="4" t="str">
        <f>IF(OR(C6="delivered",C6="cancelled"),"closed","open")</f>
        <v>open</v>
      </c>
      <c r="F6" t="b">
        <f>OR(C6="Delivered",C6="cancelled")</f>
        <v>0</v>
      </c>
    </row>
    <row r="7" spans="1:7" x14ac:dyDescent="0.3">
      <c r="B7" s="39" t="s">
        <v>681</v>
      </c>
      <c r="C7" s="4" t="s">
        <v>676</v>
      </c>
      <c r="D7" s="4" t="str">
        <f>IF(OR(C7="delivered",C7="cancelled"),"closed","open")</f>
        <v>closed</v>
      </c>
      <c r="F7" t="b">
        <f>OR(C7="Delivered",C7="cancelled")</f>
        <v>1</v>
      </c>
    </row>
    <row r="8" spans="1:7" x14ac:dyDescent="0.3">
      <c r="B8" s="39" t="s">
        <v>682</v>
      </c>
      <c r="C8" s="4" t="s">
        <v>678</v>
      </c>
      <c r="D8" s="4" t="str">
        <f>IF(OR(C8="delivered",C8="cancelled"),"closed","open")</f>
        <v>closed</v>
      </c>
      <c r="F8" t="b">
        <f>OR(C8="Delivered",C8="cancelled")</f>
        <v>1</v>
      </c>
    </row>
    <row r="10" spans="1:7" x14ac:dyDescent="0.3">
      <c r="B10" s="30" t="s">
        <v>683</v>
      </c>
    </row>
    <row r="11" spans="1:7" x14ac:dyDescent="0.3">
      <c r="A11" s="37" t="s">
        <v>2</v>
      </c>
    </row>
    <row r="16" spans="1:7" x14ac:dyDescent="0.3">
      <c r="B16" s="3" t="s">
        <v>638</v>
      </c>
      <c r="C16" s="3" t="s">
        <v>684</v>
      </c>
      <c r="D16" s="3" t="s">
        <v>640</v>
      </c>
      <c r="G16" s="38"/>
    </row>
    <row r="17" spans="2:4" x14ac:dyDescent="0.3">
      <c r="B17" s="39" t="s">
        <v>685</v>
      </c>
      <c r="C17" s="33">
        <v>0.45</v>
      </c>
      <c r="D17" s="4" t="str">
        <f>IF(OR(C17&lt;40%,C17="A"),"fail","pass")</f>
        <v>pass</v>
      </c>
    </row>
    <row r="18" spans="2:4" x14ac:dyDescent="0.3">
      <c r="B18" s="39" t="s">
        <v>686</v>
      </c>
      <c r="C18" s="33">
        <v>0.76</v>
      </c>
      <c r="D18" s="4" t="str">
        <f t="shared" ref="D18:D24" si="0">IF(OR(C18&lt;40%,C18="A"),"fail","pass")</f>
        <v>pass</v>
      </c>
    </row>
    <row r="19" spans="2:4" x14ac:dyDescent="0.3">
      <c r="B19" s="39" t="s">
        <v>687</v>
      </c>
      <c r="C19" s="33">
        <v>0.56000000000000005</v>
      </c>
      <c r="D19" s="4" t="str">
        <f t="shared" si="0"/>
        <v>pass</v>
      </c>
    </row>
    <row r="20" spans="2:4" x14ac:dyDescent="0.3">
      <c r="B20" s="39" t="s">
        <v>688</v>
      </c>
      <c r="C20" s="4" t="s">
        <v>207</v>
      </c>
      <c r="D20" s="4" t="str">
        <f t="shared" si="0"/>
        <v>fail</v>
      </c>
    </row>
    <row r="21" spans="2:4" x14ac:dyDescent="0.3">
      <c r="B21" s="39" t="s">
        <v>689</v>
      </c>
      <c r="C21" s="33">
        <v>0.77</v>
      </c>
      <c r="D21" s="4" t="str">
        <f t="shared" si="0"/>
        <v>pass</v>
      </c>
    </row>
    <row r="22" spans="2:4" x14ac:dyDescent="0.3">
      <c r="B22" s="39" t="s">
        <v>688</v>
      </c>
      <c r="C22" s="4" t="s">
        <v>207</v>
      </c>
      <c r="D22" s="4" t="str">
        <f t="shared" si="0"/>
        <v>fail</v>
      </c>
    </row>
    <row r="23" spans="2:4" x14ac:dyDescent="0.3">
      <c r="B23" s="39" t="s">
        <v>690</v>
      </c>
      <c r="C23" s="33">
        <v>0.98</v>
      </c>
      <c r="D23" s="4" t="str">
        <f t="shared" si="0"/>
        <v>pass</v>
      </c>
    </row>
    <row r="24" spans="2:4" x14ac:dyDescent="0.3">
      <c r="B24" s="39" t="s">
        <v>688</v>
      </c>
      <c r="C24" s="33">
        <v>0.33</v>
      </c>
      <c r="D24" s="4" t="str">
        <f t="shared" si="0"/>
        <v>fail</v>
      </c>
    </row>
    <row r="26" spans="2:4" x14ac:dyDescent="0.3">
      <c r="B26" s="30" t="s">
        <v>691</v>
      </c>
    </row>
  </sheetData>
  <hyperlinks>
    <hyperlink ref="A2" location="Home!A1" display="Home" xr:uid="{1B70F2B8-1EBA-41CD-9EA5-AE6DC5BAAB3C}"/>
    <hyperlink ref="A11" location="Home!A1" display="Home" xr:uid="{C1886630-1F4F-4504-9D77-3158A3A02D6A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842D-36F3-4E6B-9DDB-F7105653D6F1}">
  <dimension ref="A1:H25"/>
  <sheetViews>
    <sheetView zoomScale="130" zoomScaleNormal="130" workbookViewId="0">
      <pane ySplit="1" topLeftCell="A15" activePane="bottomLeft" state="frozen"/>
      <selection pane="bottomLeft" activeCell="H19" sqref="H19"/>
    </sheetView>
  </sheetViews>
  <sheetFormatPr defaultRowHeight="18.75" x14ac:dyDescent="0.3"/>
  <cols>
    <col min="2" max="2" width="14.796875" customWidth="1"/>
    <col min="3" max="5" width="6.796875" customWidth="1"/>
    <col min="8" max="8" width="25.59765625" customWidth="1"/>
  </cols>
  <sheetData>
    <row r="1" spans="1:8" s="2" customFormat="1" ht="32.65" customHeight="1" thickBot="1" x14ac:dyDescent="0.35">
      <c r="A1" s="36">
        <v>62</v>
      </c>
      <c r="B1" s="1" t="s">
        <v>692</v>
      </c>
    </row>
    <row r="2" spans="1:8" x14ac:dyDescent="0.3">
      <c r="A2" s="37" t="s">
        <v>2</v>
      </c>
    </row>
    <row r="3" spans="1:8" x14ac:dyDescent="0.3">
      <c r="B3" s="3" t="s">
        <v>638</v>
      </c>
      <c r="C3" s="3" t="s">
        <v>193</v>
      </c>
      <c r="D3" s="3" t="s">
        <v>194</v>
      </c>
      <c r="E3" s="3" t="s">
        <v>195</v>
      </c>
      <c r="F3" s="3" t="s">
        <v>98</v>
      </c>
      <c r="G3" s="3" t="s">
        <v>248</v>
      </c>
      <c r="H3" s="3" t="s">
        <v>693</v>
      </c>
    </row>
    <row r="4" spans="1:8" x14ac:dyDescent="0.3">
      <c r="B4" s="39" t="s">
        <v>694</v>
      </c>
      <c r="C4" s="4">
        <v>66</v>
      </c>
      <c r="D4" s="4">
        <v>55</v>
      </c>
      <c r="E4" s="4">
        <v>66</v>
      </c>
      <c r="F4" s="4">
        <f>SUM(C4:E4)</f>
        <v>187</v>
      </c>
      <c r="G4" s="23">
        <v>0.56000000000000005</v>
      </c>
      <c r="H4" s="4" t="str">
        <f t="array" ref="H4">_xlfn.IFS(G4&gt;=90%,"a",G4&gt;=70%,"b",G4&gt;=50%,"c",G4&lt;50%,"d")</f>
        <v>c</v>
      </c>
    </row>
    <row r="5" spans="1:8" x14ac:dyDescent="0.3">
      <c r="B5" s="39" t="s">
        <v>695</v>
      </c>
      <c r="C5" s="4">
        <v>54</v>
      </c>
      <c r="D5" s="4">
        <v>67</v>
      </c>
      <c r="E5" s="4">
        <v>44</v>
      </c>
      <c r="F5" s="4">
        <f>SUM(C5:E5)</f>
        <v>165</v>
      </c>
      <c r="G5" s="23">
        <v>0.76</v>
      </c>
      <c r="H5" s="4" t="str">
        <f t="array" ref="H5">_xlfn.IFS(G5&gt;=90%,"a",G5&gt;=70%,"b",G5&gt;=50%,"c",G5&lt;50%,"d")</f>
        <v>b</v>
      </c>
    </row>
    <row r="6" spans="1:8" x14ac:dyDescent="0.3">
      <c r="B6" s="39" t="s">
        <v>696</v>
      </c>
      <c r="C6" s="4">
        <v>87</v>
      </c>
      <c r="D6" s="4">
        <v>76</v>
      </c>
      <c r="E6" s="4">
        <v>56</v>
      </c>
      <c r="F6" s="4">
        <f>SUM(C6:E6)</f>
        <v>219</v>
      </c>
      <c r="G6" s="23">
        <v>0.33</v>
      </c>
      <c r="H6" s="4" t="str">
        <f t="array" ref="H6">_xlfn.IFS(G6&gt;=90%,"a",G6&gt;=70%,"b",G6&gt;=50%,"c",G6&lt;50%,"d")</f>
        <v>d</v>
      </c>
    </row>
    <row r="7" spans="1:8" x14ac:dyDescent="0.3">
      <c r="B7" s="39" t="s">
        <v>697</v>
      </c>
      <c r="C7" s="4">
        <v>55</v>
      </c>
      <c r="D7" s="4">
        <v>56</v>
      </c>
      <c r="E7" s="4">
        <v>34</v>
      </c>
      <c r="F7" s="4">
        <f>SUM(C7:E7)</f>
        <v>145</v>
      </c>
      <c r="G7" s="23">
        <v>0.98</v>
      </c>
      <c r="H7" s="4" t="str">
        <f t="array" ref="H7">_xlfn.IFS(G7&gt;=90%,"a",G7&gt;=70%,"b",G7&gt;=50%,"c",G7&lt;50%,"d")</f>
        <v>a</v>
      </c>
    </row>
    <row r="8" spans="1:8" x14ac:dyDescent="0.3">
      <c r="B8" s="39" t="s">
        <v>698</v>
      </c>
      <c r="C8" s="4">
        <v>13</v>
      </c>
      <c r="D8" s="4">
        <v>65</v>
      </c>
      <c r="E8" s="4">
        <v>27</v>
      </c>
      <c r="F8" s="4">
        <f>SUM(C8:E8)</f>
        <v>105</v>
      </c>
      <c r="G8" s="23">
        <v>0.67</v>
      </c>
      <c r="H8" s="4" t="str">
        <f t="array" ref="H8">_xlfn.IFS(G8&gt;=90%,"a",G8&gt;=70%,"b",G8&gt;=50%,"c",G8&lt;50%,"d")</f>
        <v>c</v>
      </c>
    </row>
    <row r="9" spans="1:8" x14ac:dyDescent="0.3">
      <c r="H9" s="38"/>
    </row>
    <row r="10" spans="1:8" x14ac:dyDescent="0.3">
      <c r="B10" s="30" t="s">
        <v>699</v>
      </c>
    </row>
    <row r="11" spans="1:8" x14ac:dyDescent="0.3">
      <c r="B11" s="30" t="s">
        <v>700</v>
      </c>
      <c r="F11">
        <v>3</v>
      </c>
      <c r="G11" t="str">
        <f t="array" ref="G11">_xlfn.IFS(F11=1,"one",F11=2,"two",F11=3,"three")</f>
        <v>three</v>
      </c>
    </row>
    <row r="12" spans="1:8" x14ac:dyDescent="0.3">
      <c r="B12" s="30" t="s">
        <v>701</v>
      </c>
    </row>
    <row r="13" spans="1:8" x14ac:dyDescent="0.3">
      <c r="B13" s="30" t="s">
        <v>702</v>
      </c>
    </row>
    <row r="14" spans="1:8" x14ac:dyDescent="0.3">
      <c r="B14" s="30" t="s">
        <v>703</v>
      </c>
    </row>
    <row r="15" spans="1:8" x14ac:dyDescent="0.3">
      <c r="A15" s="37" t="s">
        <v>2</v>
      </c>
    </row>
    <row r="16" spans="1:8" x14ac:dyDescent="0.3">
      <c r="B16" s="40" t="s">
        <v>704</v>
      </c>
      <c r="C16" s="40" t="s">
        <v>705</v>
      </c>
      <c r="D16" s="3" t="s">
        <v>674</v>
      </c>
    </row>
    <row r="17" spans="2:4" x14ac:dyDescent="0.3">
      <c r="B17" s="39" t="s">
        <v>706</v>
      </c>
      <c r="C17" s="39">
        <v>120</v>
      </c>
      <c r="D17" s="4" t="str">
        <f t="array" ref="D17">_xlfn.IFS(C17&gt;=80,"fast",C17&gt;=50,"normal",C17&lt;50,"slow")</f>
        <v>fast</v>
      </c>
    </row>
    <row r="18" spans="2:4" x14ac:dyDescent="0.3">
      <c r="B18" s="39" t="s">
        <v>707</v>
      </c>
      <c r="C18" s="39">
        <v>85</v>
      </c>
      <c r="D18" s="4" t="str">
        <f t="array" ref="D18">_xlfn.IFS(C18&gt;=80,"fast",C18&gt;=50,"normal",C18&lt;50,"slow")</f>
        <v>fast</v>
      </c>
    </row>
    <row r="19" spans="2:4" x14ac:dyDescent="0.3">
      <c r="B19" s="39" t="s">
        <v>708</v>
      </c>
      <c r="C19" s="39">
        <v>66</v>
      </c>
      <c r="D19" s="4" t="str">
        <f t="array" ref="D19">_xlfn.IFS(C19&gt;=80,"fast",C19&gt;=50,"normal",C19&lt;50,"slow")</f>
        <v>normal</v>
      </c>
    </row>
    <row r="20" spans="2:4" x14ac:dyDescent="0.3">
      <c r="B20" s="39" t="s">
        <v>709</v>
      </c>
      <c r="C20" s="39">
        <v>95</v>
      </c>
      <c r="D20" s="4" t="str">
        <f t="array" ref="D20">_xlfn.IFS(C20&gt;=80,"fast",C20&gt;=50,"normal",C20&lt;50,"slow")</f>
        <v>fast</v>
      </c>
    </row>
    <row r="21" spans="2:4" x14ac:dyDescent="0.3">
      <c r="B21" s="39" t="s">
        <v>710</v>
      </c>
      <c r="C21" s="39">
        <v>35</v>
      </c>
      <c r="D21" s="4" t="str">
        <f t="array" ref="D21">_xlfn.IFS(C21&gt;=80,"fast",C21&gt;=50,"normal",C21&lt;50,"slow")</f>
        <v>slow</v>
      </c>
    </row>
    <row r="23" spans="2:4" x14ac:dyDescent="0.3">
      <c r="B23" s="30" t="s">
        <v>711</v>
      </c>
    </row>
    <row r="24" spans="2:4" x14ac:dyDescent="0.3">
      <c r="B24" s="30" t="s">
        <v>712</v>
      </c>
    </row>
    <row r="25" spans="2:4" x14ac:dyDescent="0.3">
      <c r="B25" s="30" t="s">
        <v>713</v>
      </c>
    </row>
  </sheetData>
  <hyperlinks>
    <hyperlink ref="A2" location="Home!A1" display="Home" xr:uid="{8FDB9749-20EC-456C-AE18-1636EFFF5AB5}"/>
    <hyperlink ref="A15" location="Home!A1" display="Home" xr:uid="{0C58E4A9-2B5C-4901-8F7B-25DD65D0549B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845E-A042-4C7E-84B9-618D07E97696}">
  <dimension ref="A1:J2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9" customWidth="1"/>
    <col min="3" max="3" width="11.296875" bestFit="1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1" customWidth="1"/>
    <col min="9" max="9" width="12.69921875" customWidth="1"/>
    <col min="10" max="10" width="12.59765625" customWidth="1"/>
    <col min="11" max="11" width="13.09765625" bestFit="1" customWidth="1"/>
  </cols>
  <sheetData>
    <row r="1" spans="1:10" s="2" customFormat="1" ht="32.65" customHeight="1" thickBot="1" x14ac:dyDescent="0.35">
      <c r="A1" s="36">
        <v>63</v>
      </c>
      <c r="B1" s="1" t="s">
        <v>714</v>
      </c>
    </row>
    <row r="2" spans="1:10" x14ac:dyDescent="0.3">
      <c r="A2" s="37" t="s">
        <v>2</v>
      </c>
    </row>
    <row r="3" spans="1:10" x14ac:dyDescent="0.3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716</v>
      </c>
    </row>
    <row r="4" spans="1:10" x14ac:dyDescent="0.3">
      <c r="B4" s="4">
        <v>100</v>
      </c>
      <c r="C4" s="27" t="s">
        <v>651</v>
      </c>
      <c r="D4" s="4">
        <v>45000</v>
      </c>
      <c r="E4" s="4" t="s">
        <v>670</v>
      </c>
      <c r="F4" s="27">
        <v>44927</v>
      </c>
      <c r="H4" s="4">
        <v>1222</v>
      </c>
      <c r="I4" s="27" t="str">
        <f>IFERROR(VLOOKUP(H4,B3:F9,5,0),"not found")</f>
        <v>not found</v>
      </c>
    </row>
    <row r="5" spans="1:10" x14ac:dyDescent="0.3">
      <c r="B5" s="4">
        <v>101</v>
      </c>
      <c r="C5" s="27" t="s">
        <v>668</v>
      </c>
      <c r="D5" s="4">
        <v>50000</v>
      </c>
      <c r="E5" s="4" t="s">
        <v>667</v>
      </c>
      <c r="F5" s="27">
        <v>45447</v>
      </c>
    </row>
    <row r="6" spans="1:10" x14ac:dyDescent="0.3">
      <c r="B6" s="4">
        <v>102</v>
      </c>
      <c r="C6" s="27" t="s">
        <v>654</v>
      </c>
      <c r="D6" s="4">
        <v>17000</v>
      </c>
      <c r="E6" s="4" t="s">
        <v>669</v>
      </c>
      <c r="F6" s="27">
        <v>44793</v>
      </c>
      <c r="H6" s="3" t="s">
        <v>715</v>
      </c>
      <c r="I6" s="3" t="s">
        <v>252</v>
      </c>
    </row>
    <row r="7" spans="1:10" x14ac:dyDescent="0.3">
      <c r="B7" s="4">
        <v>103</v>
      </c>
      <c r="C7" s="27" t="s">
        <v>408</v>
      </c>
      <c r="D7" s="4">
        <v>25000</v>
      </c>
      <c r="E7" s="4" t="s">
        <v>670</v>
      </c>
      <c r="F7" s="27">
        <v>43146</v>
      </c>
      <c r="H7" s="4">
        <v>104</v>
      </c>
      <c r="I7" s="4" t="e">
        <f>VLOOKUP(H7,B3:F9,3,0)</f>
        <v>#N/A</v>
      </c>
    </row>
    <row r="8" spans="1:10" x14ac:dyDescent="0.3">
      <c r="B8" s="4">
        <v>102</v>
      </c>
      <c r="C8" s="27" t="s">
        <v>545</v>
      </c>
      <c r="D8" s="4">
        <v>40000</v>
      </c>
      <c r="E8" s="4" t="s">
        <v>371</v>
      </c>
      <c r="F8" s="27">
        <v>44599</v>
      </c>
    </row>
    <row r="9" spans="1:10" x14ac:dyDescent="0.3">
      <c r="B9" s="4">
        <v>105</v>
      </c>
      <c r="C9" s="27" t="s">
        <v>717</v>
      </c>
      <c r="D9" s="4">
        <v>23000</v>
      </c>
      <c r="E9" s="4" t="s">
        <v>371</v>
      </c>
      <c r="F9" s="27">
        <v>44600</v>
      </c>
    </row>
    <row r="10" spans="1:10" x14ac:dyDescent="0.3">
      <c r="B10" s="30"/>
    </row>
    <row r="11" spans="1:10" x14ac:dyDescent="0.3">
      <c r="B11" s="3" t="s">
        <v>715</v>
      </c>
      <c r="C11" s="3" t="s">
        <v>596</v>
      </c>
      <c r="D11" s="3" t="s">
        <v>252</v>
      </c>
      <c r="E11" s="3" t="s">
        <v>664</v>
      </c>
      <c r="F11" s="3" t="s">
        <v>716</v>
      </c>
      <c r="H11" s="3" t="s">
        <v>715</v>
      </c>
      <c r="I11" s="3" t="s">
        <v>252</v>
      </c>
      <c r="J11" s="3" t="s">
        <v>716</v>
      </c>
    </row>
    <row r="12" spans="1:10" x14ac:dyDescent="0.3">
      <c r="B12" s="4">
        <v>102</v>
      </c>
      <c r="C12" s="4" t="str">
        <f>VLOOKUP($B$12,$B$3:$F$9,COLUMNS($B$10:C10),0)</f>
        <v>Anil Kumar</v>
      </c>
      <c r="D12" s="4">
        <f>VLOOKUP($B$12,$B$3:$F$9,COLUMNS($B$10:D10),0)</f>
        <v>17000</v>
      </c>
      <c r="E12" s="4" t="str">
        <f>VLOOKUP($B$12,$B$3:$F$9,COLUMNS($B$10:E10),0)</f>
        <v>Markeeting</v>
      </c>
      <c r="F12" s="27">
        <f>VLOOKUP($B$12,$B$3:$F$9,COLUMNS($B$10:F10),0)</f>
        <v>44793</v>
      </c>
      <c r="H12" s="4">
        <v>101</v>
      </c>
      <c r="I12" s="4">
        <f>VLOOKUP(H12,B3:F9,3,0)</f>
        <v>50000</v>
      </c>
      <c r="J12" s="27">
        <f>VLOOKUP(H12,B3:F9,5,0)</f>
        <v>45447</v>
      </c>
    </row>
    <row r="13" spans="1:10" x14ac:dyDescent="0.3">
      <c r="B13" s="35"/>
      <c r="C13" s="35"/>
      <c r="D13" s="35"/>
      <c r="E13" s="35"/>
      <c r="F13" s="35"/>
    </row>
    <row r="14" spans="1:10" x14ac:dyDescent="0.3">
      <c r="B14" s="30"/>
    </row>
    <row r="15" spans="1:10" x14ac:dyDescent="0.3">
      <c r="B15" s="30"/>
    </row>
    <row r="16" spans="1:10" x14ac:dyDescent="0.3">
      <c r="B16" s="3" t="s">
        <v>718</v>
      </c>
      <c r="C16" s="40" t="s">
        <v>596</v>
      </c>
      <c r="D16" s="3" t="s">
        <v>719</v>
      </c>
      <c r="E16" s="3" t="s">
        <v>720</v>
      </c>
      <c r="F16" s="3" t="s">
        <v>128</v>
      </c>
      <c r="H16" s="3" t="s">
        <v>719</v>
      </c>
      <c r="I16" s="3" t="s">
        <v>128</v>
      </c>
      <c r="J16" s="38"/>
    </row>
    <row r="17" spans="2:9" x14ac:dyDescent="0.3">
      <c r="B17" s="4">
        <v>100</v>
      </c>
      <c r="C17" s="39" t="s">
        <v>721</v>
      </c>
      <c r="D17" s="4" t="s">
        <v>722</v>
      </c>
      <c r="E17" s="4">
        <v>3</v>
      </c>
      <c r="F17" s="4">
        <v>1200</v>
      </c>
      <c r="H17" s="4" t="s">
        <v>723</v>
      </c>
      <c r="I17" s="4">
        <f>VLOOKUP(H17,D16:F22,3,0)</f>
        <v>6500</v>
      </c>
    </row>
    <row r="18" spans="2:9" x14ac:dyDescent="0.3">
      <c r="B18" s="4">
        <v>101</v>
      </c>
      <c r="C18" s="39" t="s">
        <v>724</v>
      </c>
      <c r="D18" s="4" t="s">
        <v>725</v>
      </c>
      <c r="E18" s="4">
        <v>5</v>
      </c>
      <c r="F18" s="4">
        <v>5000</v>
      </c>
    </row>
    <row r="19" spans="2:9" x14ac:dyDescent="0.3">
      <c r="B19" s="4">
        <v>102</v>
      </c>
      <c r="C19" s="39" t="s">
        <v>726</v>
      </c>
      <c r="D19" s="4" t="s">
        <v>727</v>
      </c>
      <c r="E19" s="4">
        <v>6</v>
      </c>
      <c r="F19" s="4">
        <v>230</v>
      </c>
      <c r="H19" s="3" t="s">
        <v>719</v>
      </c>
      <c r="I19" s="3" t="s">
        <v>596</v>
      </c>
    </row>
    <row r="20" spans="2:9" x14ac:dyDescent="0.3">
      <c r="B20" s="4">
        <v>103</v>
      </c>
      <c r="C20" s="39" t="s">
        <v>728</v>
      </c>
      <c r="D20" s="4" t="s">
        <v>723</v>
      </c>
      <c r="E20" s="4">
        <v>7</v>
      </c>
      <c r="F20" s="4">
        <v>6500</v>
      </c>
      <c r="H20" s="4" t="s">
        <v>723</v>
      </c>
      <c r="I20" s="4"/>
    </row>
    <row r="21" spans="2:9" x14ac:dyDescent="0.3">
      <c r="B21" s="4">
        <v>104</v>
      </c>
      <c r="C21" s="39" t="s">
        <v>729</v>
      </c>
      <c r="D21" s="4" t="s">
        <v>730</v>
      </c>
      <c r="E21" s="4">
        <v>4</v>
      </c>
      <c r="F21" s="4">
        <v>45000</v>
      </c>
    </row>
    <row r="22" spans="2:9" x14ac:dyDescent="0.3">
      <c r="B22" s="4">
        <v>105</v>
      </c>
      <c r="C22" s="39" t="s">
        <v>731</v>
      </c>
      <c r="D22" s="4" t="s">
        <v>732</v>
      </c>
      <c r="E22" s="4">
        <v>5</v>
      </c>
      <c r="F22" s="4">
        <v>3000</v>
      </c>
    </row>
    <row r="23" spans="2:9" x14ac:dyDescent="0.3">
      <c r="B23" s="30"/>
    </row>
  </sheetData>
  <hyperlinks>
    <hyperlink ref="A2" location="Home!A1" display="Home" xr:uid="{DB1DE17D-788E-492C-BD1C-1D15B2F737B2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130F-9DF2-499B-9E3B-6BC22DF0DB95}">
  <dimension ref="A1:K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3.296875" customWidth="1"/>
    <col min="3" max="3" width="7.59765625" customWidth="1"/>
    <col min="4" max="4" width="11.796875" bestFit="1" customWidth="1"/>
    <col min="5" max="5" width="11.5" bestFit="1" customWidth="1"/>
    <col min="6" max="6" width="15.8984375" bestFit="1" customWidth="1"/>
    <col min="7" max="7" width="15.19921875" bestFit="1" customWidth="1"/>
    <col min="8" max="8" width="10.59765625" bestFit="1" customWidth="1"/>
    <col min="9" max="9" width="10.3984375" customWidth="1"/>
    <col min="10" max="10" width="9.09765625" customWidth="1"/>
    <col min="11" max="11" width="15.296875" bestFit="1" customWidth="1"/>
  </cols>
  <sheetData>
    <row r="1" spans="1:11" s="2" customFormat="1" ht="32.65" customHeight="1" thickBot="1" x14ac:dyDescent="0.35">
      <c r="A1" s="36">
        <v>64</v>
      </c>
      <c r="B1" s="1" t="s">
        <v>733</v>
      </c>
    </row>
    <row r="2" spans="1:11" x14ac:dyDescent="0.3">
      <c r="A2" s="37" t="s">
        <v>2</v>
      </c>
    </row>
    <row r="3" spans="1:11" x14ac:dyDescent="0.3">
      <c r="B3" s="12" t="s">
        <v>718</v>
      </c>
      <c r="C3" s="34">
        <v>100</v>
      </c>
      <c r="D3" s="34">
        <v>101</v>
      </c>
      <c r="E3" s="34">
        <v>102</v>
      </c>
      <c r="F3" s="34">
        <v>103</v>
      </c>
      <c r="G3" s="34">
        <v>104</v>
      </c>
      <c r="H3" s="34">
        <v>105</v>
      </c>
    </row>
    <row r="4" spans="1:11" x14ac:dyDescent="0.3">
      <c r="B4" s="12" t="s">
        <v>596</v>
      </c>
      <c r="C4" s="59" t="s">
        <v>734</v>
      </c>
      <c r="D4" s="39" t="s">
        <v>735</v>
      </c>
      <c r="E4" s="39" t="s">
        <v>736</v>
      </c>
      <c r="F4" s="39" t="s">
        <v>737</v>
      </c>
      <c r="G4" s="39" t="s">
        <v>738</v>
      </c>
      <c r="H4" s="39" t="s">
        <v>739</v>
      </c>
      <c r="K4" s="38"/>
    </row>
    <row r="5" spans="1:11" x14ac:dyDescent="0.3">
      <c r="B5" s="12" t="s">
        <v>719</v>
      </c>
      <c r="C5" s="34" t="s">
        <v>722</v>
      </c>
      <c r="D5" s="34" t="s">
        <v>725</v>
      </c>
      <c r="E5" s="34" t="s">
        <v>727</v>
      </c>
      <c r="F5" s="34" t="s">
        <v>723</v>
      </c>
      <c r="G5" s="34" t="s">
        <v>730</v>
      </c>
      <c r="H5" s="34" t="s">
        <v>732</v>
      </c>
    </row>
    <row r="6" spans="1:11" x14ac:dyDescent="0.3">
      <c r="B6" s="12" t="s">
        <v>720</v>
      </c>
      <c r="C6" s="34">
        <v>3</v>
      </c>
      <c r="D6" s="34">
        <v>5</v>
      </c>
      <c r="E6" s="34">
        <v>6</v>
      </c>
      <c r="F6" s="34">
        <v>7</v>
      </c>
      <c r="G6" s="34">
        <v>4</v>
      </c>
      <c r="H6" s="34">
        <v>5</v>
      </c>
    </row>
    <row r="7" spans="1:11" x14ac:dyDescent="0.3">
      <c r="B7" s="12" t="s">
        <v>128</v>
      </c>
      <c r="C7" s="34">
        <v>1200</v>
      </c>
      <c r="D7" s="34">
        <v>5000</v>
      </c>
      <c r="E7" s="34">
        <v>230</v>
      </c>
      <c r="F7" s="34">
        <v>6500</v>
      </c>
      <c r="G7" s="34">
        <v>45000</v>
      </c>
      <c r="H7" s="34">
        <v>3000</v>
      </c>
    </row>
    <row r="9" spans="1:11" x14ac:dyDescent="0.3">
      <c r="B9" s="12" t="s">
        <v>718</v>
      </c>
      <c r="C9" s="22">
        <v>104</v>
      </c>
      <c r="E9" s="12" t="s">
        <v>718</v>
      </c>
      <c r="F9" s="22">
        <v>102</v>
      </c>
      <c r="I9" s="12" t="s">
        <v>719</v>
      </c>
      <c r="J9" s="34" t="s">
        <v>725</v>
      </c>
    </row>
    <row r="10" spans="1:11" x14ac:dyDescent="0.3">
      <c r="B10" s="12" t="s">
        <v>128</v>
      </c>
      <c r="C10" s="4">
        <f>HLOOKUP(C9,B3:H7,5,0)</f>
        <v>45000</v>
      </c>
      <c r="E10" s="12" t="s">
        <v>596</v>
      </c>
      <c r="F10" s="4" t="str">
        <f>HLOOKUP($F$9,$B$3:$H$7,ROWS($D$9:D10),0)</f>
        <v>Refrigerator</v>
      </c>
      <c r="I10" s="12" t="s">
        <v>128</v>
      </c>
      <c r="J10" s="4">
        <f>HLOOKUP(J9,B5:H7,3,0)</f>
        <v>5000</v>
      </c>
    </row>
    <row r="11" spans="1:11" x14ac:dyDescent="0.3">
      <c r="E11" s="12" t="s">
        <v>719</v>
      </c>
      <c r="F11" s="4" t="str">
        <f>HLOOKUP($F$9,$B$3:$H$7,ROWS($D$9:D11),0)</f>
        <v>P002</v>
      </c>
    </row>
    <row r="12" spans="1:11" x14ac:dyDescent="0.3">
      <c r="B12" s="12" t="s">
        <v>718</v>
      </c>
      <c r="C12" s="22">
        <v>104</v>
      </c>
      <c r="E12" s="12" t="s">
        <v>720</v>
      </c>
      <c r="F12" s="4">
        <f>HLOOKUP($F$9,$B$3:$H$7,ROWS($D$9:D12),0)</f>
        <v>6</v>
      </c>
    </row>
    <row r="13" spans="1:11" x14ac:dyDescent="0.3">
      <c r="B13" s="12" t="s">
        <v>719</v>
      </c>
      <c r="C13" s="4" t="str">
        <f>HLOOKUP(C12,B3:H7,3,0)</f>
        <v>P005</v>
      </c>
      <c r="E13" s="12" t="s">
        <v>128</v>
      </c>
      <c r="F13" s="4">
        <f>HLOOKUP($F$9,$B$3:$H$7,ROWS($D$9:D13),0)</f>
        <v>230</v>
      </c>
    </row>
  </sheetData>
  <hyperlinks>
    <hyperlink ref="A2" location="Home!A1" display="Home" xr:uid="{1E91563C-DA9D-44EE-9863-81BF5E12995C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E4B4-E7D8-4603-B7A9-BB02A9DC74D6}">
  <dimension ref="A1:I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9" customWidth="1"/>
    <col min="3" max="3" width="14.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6">
        <v>65</v>
      </c>
      <c r="B1" s="1" t="s">
        <v>740</v>
      </c>
    </row>
    <row r="2" spans="1:9" x14ac:dyDescent="0.3">
      <c r="A2" s="37" t="s">
        <v>2</v>
      </c>
    </row>
    <row r="3" spans="1:9" x14ac:dyDescent="0.3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741</v>
      </c>
    </row>
    <row r="4" spans="1:9" x14ac:dyDescent="0.3">
      <c r="B4" s="4">
        <v>100</v>
      </c>
      <c r="C4" s="51" t="s">
        <v>742</v>
      </c>
      <c r="D4" s="4">
        <v>45000</v>
      </c>
      <c r="E4" s="4" t="s">
        <v>670</v>
      </c>
      <c r="F4" s="27">
        <v>44927</v>
      </c>
      <c r="H4" s="4">
        <v>104</v>
      </c>
      <c r="I4" s="4">
        <f>MATCH(H4,B4:B9,0)</f>
        <v>5</v>
      </c>
    </row>
    <row r="5" spans="1:9" x14ac:dyDescent="0.3">
      <c r="B5" s="4">
        <v>101</v>
      </c>
      <c r="C5" s="51" t="s">
        <v>743</v>
      </c>
      <c r="D5" s="4">
        <v>50000</v>
      </c>
      <c r="E5" s="4" t="s">
        <v>667</v>
      </c>
      <c r="F5" s="27">
        <v>45447</v>
      </c>
      <c r="H5" s="49"/>
    </row>
    <row r="6" spans="1:9" x14ac:dyDescent="0.3">
      <c r="B6" s="4">
        <v>102</v>
      </c>
      <c r="C6" s="51" t="s">
        <v>744</v>
      </c>
      <c r="D6" s="4">
        <v>17000</v>
      </c>
      <c r="E6" s="4" t="s">
        <v>669</v>
      </c>
      <c r="F6" s="27">
        <v>44793</v>
      </c>
      <c r="H6" s="50"/>
    </row>
    <row r="7" spans="1:9" x14ac:dyDescent="0.3">
      <c r="B7" s="4">
        <v>103</v>
      </c>
      <c r="C7" s="51" t="s">
        <v>745</v>
      </c>
      <c r="D7" s="4">
        <v>25000</v>
      </c>
      <c r="E7" s="4" t="s">
        <v>670</v>
      </c>
      <c r="F7" s="27">
        <v>43146</v>
      </c>
      <c r="H7" s="50"/>
    </row>
    <row r="8" spans="1:9" x14ac:dyDescent="0.3">
      <c r="B8" s="4">
        <v>104</v>
      </c>
      <c r="C8" s="51" t="s">
        <v>746</v>
      </c>
      <c r="D8" s="4">
        <v>40000</v>
      </c>
      <c r="E8" s="4" t="s">
        <v>371</v>
      </c>
      <c r="F8" s="27">
        <v>44599</v>
      </c>
      <c r="H8" s="50"/>
    </row>
    <row r="9" spans="1:9" x14ac:dyDescent="0.3">
      <c r="B9" s="4">
        <v>105</v>
      </c>
      <c r="C9" s="51" t="s">
        <v>747</v>
      </c>
      <c r="D9" s="4">
        <v>23000</v>
      </c>
      <c r="E9" s="4" t="s">
        <v>371</v>
      </c>
      <c r="F9" s="27">
        <v>44600</v>
      </c>
      <c r="H9" s="50"/>
    </row>
    <row r="10" spans="1:9" x14ac:dyDescent="0.3">
      <c r="B10" s="30"/>
      <c r="H10" s="50"/>
    </row>
    <row r="11" spans="1:9" x14ac:dyDescent="0.3">
      <c r="H11" s="50"/>
    </row>
    <row r="12" spans="1:9" x14ac:dyDescent="0.3">
      <c r="B12" t="s">
        <v>748</v>
      </c>
      <c r="C12">
        <f>MATCH(B12,B3:F3,0)</f>
        <v>2</v>
      </c>
    </row>
  </sheetData>
  <hyperlinks>
    <hyperlink ref="A2" location="Home!A1" display="Home" xr:uid="{A9B49621-9286-4909-9642-F36F45BEC0BE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4808-793E-461F-9834-23370D2DB243}">
  <dimension ref="A1:I10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9" customWidth="1"/>
    <col min="3" max="3" width="13.39843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6">
        <v>66</v>
      </c>
      <c r="B1" s="1" t="s">
        <v>749</v>
      </c>
    </row>
    <row r="2" spans="1:9" x14ac:dyDescent="0.3">
      <c r="A2" s="37" t="s">
        <v>2</v>
      </c>
    </row>
    <row r="3" spans="1:9" x14ac:dyDescent="0.3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741</v>
      </c>
    </row>
    <row r="4" spans="1:9" x14ac:dyDescent="0.3">
      <c r="B4" s="4">
        <v>100</v>
      </c>
      <c r="C4" s="51" t="s">
        <v>742</v>
      </c>
      <c r="D4" s="4">
        <v>45000</v>
      </c>
      <c r="E4" s="4" t="s">
        <v>670</v>
      </c>
      <c r="F4" s="27">
        <v>44927</v>
      </c>
      <c r="H4" s="4"/>
      <c r="I4" s="4"/>
    </row>
    <row r="5" spans="1:9" x14ac:dyDescent="0.3">
      <c r="B5" s="4">
        <v>101</v>
      </c>
      <c r="C5" s="51" t="s">
        <v>743</v>
      </c>
      <c r="D5" s="4">
        <v>50000</v>
      </c>
      <c r="E5" s="4" t="s">
        <v>667</v>
      </c>
      <c r="F5" s="27">
        <v>45447</v>
      </c>
    </row>
    <row r="6" spans="1:9" x14ac:dyDescent="0.3">
      <c r="B6" s="4">
        <v>102</v>
      </c>
      <c r="C6" s="51" t="s">
        <v>744</v>
      </c>
      <c r="D6" s="4">
        <v>17000</v>
      </c>
      <c r="E6" s="4" t="s">
        <v>669</v>
      </c>
      <c r="F6" s="27">
        <v>44793</v>
      </c>
    </row>
    <row r="7" spans="1:9" x14ac:dyDescent="0.3">
      <c r="B7" s="4">
        <v>103</v>
      </c>
      <c r="C7" s="51" t="s">
        <v>745</v>
      </c>
      <c r="D7" s="4">
        <v>25000</v>
      </c>
      <c r="E7" s="4" t="s">
        <v>670</v>
      </c>
      <c r="F7" s="27">
        <v>43146</v>
      </c>
    </row>
    <row r="8" spans="1:9" x14ac:dyDescent="0.3">
      <c r="B8" s="4">
        <v>104</v>
      </c>
      <c r="C8" s="51" t="s">
        <v>746</v>
      </c>
      <c r="D8" s="4">
        <v>40000</v>
      </c>
      <c r="E8" s="4" t="s">
        <v>371</v>
      </c>
      <c r="F8" s="27">
        <v>44599</v>
      </c>
    </row>
    <row r="9" spans="1:9" x14ac:dyDescent="0.3">
      <c r="B9" s="4">
        <v>105</v>
      </c>
      <c r="C9" s="51" t="s">
        <v>747</v>
      </c>
      <c r="D9" s="4">
        <v>23000</v>
      </c>
      <c r="E9" s="4" t="s">
        <v>371</v>
      </c>
      <c r="F9" s="27">
        <v>44600</v>
      </c>
    </row>
    <row r="10" spans="1:9" x14ac:dyDescent="0.3">
      <c r="B10" s="30"/>
    </row>
  </sheetData>
  <hyperlinks>
    <hyperlink ref="A2" location="Home!A1" display="Home" xr:uid="{16FC293A-EA4F-4110-A8A9-F3667668DDDC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5721-8997-4F58-BC7E-2417BB757A0E}">
  <dimension ref="A1:I15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0.296875" customWidth="1"/>
    <col min="3" max="3" width="13.199218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6">
        <v>67</v>
      </c>
      <c r="B1" s="1" t="s">
        <v>750</v>
      </c>
    </row>
    <row r="2" spans="1:9" ht="16.5" customHeight="1" x14ac:dyDescent="0.3">
      <c r="A2" s="37" t="s">
        <v>2</v>
      </c>
    </row>
    <row r="3" spans="1:9" x14ac:dyDescent="0.3">
      <c r="B3" s="3" t="s">
        <v>718</v>
      </c>
      <c r="C3" s="3" t="s">
        <v>596</v>
      </c>
      <c r="D3" s="3" t="s">
        <v>719</v>
      </c>
      <c r="E3" s="3" t="s">
        <v>720</v>
      </c>
      <c r="F3" s="3" t="s">
        <v>128</v>
      </c>
      <c r="H3" s="3" t="s">
        <v>718</v>
      </c>
      <c r="I3" s="3" t="s">
        <v>128</v>
      </c>
    </row>
    <row r="4" spans="1:9" x14ac:dyDescent="0.3">
      <c r="B4" s="4">
        <v>100</v>
      </c>
      <c r="C4" s="51" t="s">
        <v>751</v>
      </c>
      <c r="D4" s="4" t="s">
        <v>722</v>
      </c>
      <c r="E4" s="4">
        <v>3</v>
      </c>
      <c r="F4" s="4">
        <v>1200</v>
      </c>
      <c r="H4" s="4">
        <v>103</v>
      </c>
      <c r="I4" s="4">
        <f>INDEX(B3:F9,MATCH(H4,B3:B9,0),MATCH(I3,B3:F3,0))</f>
        <v>6500</v>
      </c>
    </row>
    <row r="5" spans="1:9" x14ac:dyDescent="0.3">
      <c r="B5" s="4">
        <v>101</v>
      </c>
      <c r="C5" s="51" t="s">
        <v>752</v>
      </c>
      <c r="D5" s="4" t="s">
        <v>725</v>
      </c>
      <c r="E5" s="4">
        <v>5</v>
      </c>
      <c r="F5" s="4">
        <v>5000</v>
      </c>
    </row>
    <row r="6" spans="1:9" x14ac:dyDescent="0.3">
      <c r="B6" s="4">
        <v>102</v>
      </c>
      <c r="C6" s="51" t="s">
        <v>753</v>
      </c>
      <c r="D6" s="4" t="s">
        <v>727</v>
      </c>
      <c r="E6" s="4">
        <v>6</v>
      </c>
      <c r="F6" s="4">
        <v>230</v>
      </c>
      <c r="H6" s="3" t="s">
        <v>719</v>
      </c>
      <c r="I6" s="3" t="s">
        <v>718</v>
      </c>
    </row>
    <row r="7" spans="1:9" x14ac:dyDescent="0.3">
      <c r="B7" s="4">
        <v>103</v>
      </c>
      <c r="C7" s="51" t="s">
        <v>754</v>
      </c>
      <c r="D7" s="4" t="s">
        <v>723</v>
      </c>
      <c r="E7" s="4">
        <v>7</v>
      </c>
      <c r="F7" s="4">
        <v>6500</v>
      </c>
      <c r="H7" s="4" t="s">
        <v>727</v>
      </c>
      <c r="I7">
        <f>INDEX(B3:F9,MATCH(H7,D3:D9,0),1)</f>
        <v>102</v>
      </c>
    </row>
    <row r="8" spans="1:9" x14ac:dyDescent="0.3">
      <c r="B8" s="4">
        <v>104</v>
      </c>
      <c r="C8" s="51" t="s">
        <v>755</v>
      </c>
      <c r="D8" s="4" t="s">
        <v>730</v>
      </c>
      <c r="E8" s="4">
        <v>4</v>
      </c>
      <c r="F8" s="4">
        <v>45000</v>
      </c>
    </row>
    <row r="9" spans="1:9" x14ac:dyDescent="0.3">
      <c r="B9" s="4">
        <v>105</v>
      </c>
      <c r="C9" s="51" t="s">
        <v>756</v>
      </c>
      <c r="D9" s="4" t="s">
        <v>732</v>
      </c>
      <c r="E9" s="4">
        <v>5</v>
      </c>
      <c r="F9" s="4">
        <v>3000</v>
      </c>
    </row>
    <row r="10" spans="1:9" ht="7.5" customHeight="1" x14ac:dyDescent="0.3">
      <c r="B10" s="30"/>
    </row>
    <row r="11" spans="1:9" x14ac:dyDescent="0.3">
      <c r="B11" s="3" t="s">
        <v>718</v>
      </c>
    </row>
    <row r="12" spans="1:9" x14ac:dyDescent="0.3">
      <c r="B12" s="4">
        <v>103</v>
      </c>
    </row>
    <row r="13" spans="1:9" ht="9" customHeight="1" x14ac:dyDescent="0.3"/>
    <row r="14" spans="1:9" x14ac:dyDescent="0.3">
      <c r="B14" s="3" t="s">
        <v>715</v>
      </c>
      <c r="C14" s="3" t="s">
        <v>596</v>
      </c>
      <c r="D14" s="3" t="s">
        <v>252</v>
      </c>
      <c r="E14" s="3" t="s">
        <v>664</v>
      </c>
      <c r="F14" s="3" t="s">
        <v>716</v>
      </c>
    </row>
    <row r="15" spans="1:9" x14ac:dyDescent="0.3">
      <c r="B15" s="4">
        <f t="array" ref="B15:F15">INDEX(B3:F9,MATCH(B12,B3:B9,0),)</f>
        <v>103</v>
      </c>
      <c r="C15" s="27" t="str">
        <v>Graphics Card</v>
      </c>
      <c r="D15" s="4" t="str">
        <v>P003</v>
      </c>
      <c r="E15" s="4">
        <v>7</v>
      </c>
      <c r="F15" s="4">
        <v>6500</v>
      </c>
    </row>
  </sheetData>
  <dataValidations count="1">
    <dataValidation type="list" allowBlank="1" showInputMessage="1" showErrorMessage="1" sqref="I3" xr:uid="{C8E4B60D-2B79-440C-8B2F-7DB84A3B4245}">
      <formula1>$B$3:$F$3</formula1>
    </dataValidation>
  </dataValidations>
  <hyperlinks>
    <hyperlink ref="A2" location="Home!A1" display="Home" xr:uid="{3B2EE527-0C48-4F89-83AE-96396B6299E6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C967-2583-464D-A9A8-E082BCC67B16}">
  <dimension ref="A1:I40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0.296875" customWidth="1"/>
    <col min="3" max="3" width="13.296875" customWidth="1"/>
    <col min="4" max="4" width="9.3984375" customWidth="1"/>
    <col min="5" max="5" width="10.796875" customWidth="1"/>
    <col min="6" max="6" width="11.59765625" customWidth="1"/>
    <col min="7" max="7" width="8.59765625" customWidth="1"/>
  </cols>
  <sheetData>
    <row r="1" spans="1:9" s="2" customFormat="1" ht="32.65" customHeight="1" thickBot="1" x14ac:dyDescent="0.35">
      <c r="A1" s="36">
        <v>68</v>
      </c>
      <c r="B1" s="1" t="s">
        <v>757</v>
      </c>
    </row>
    <row r="2" spans="1:9" ht="16.5" customHeight="1" x14ac:dyDescent="0.3">
      <c r="A2" s="37" t="s">
        <v>2</v>
      </c>
    </row>
    <row r="3" spans="1:9" x14ac:dyDescent="0.3">
      <c r="B3" s="3" t="s">
        <v>718</v>
      </c>
      <c r="C3" s="42" t="s">
        <v>596</v>
      </c>
      <c r="D3" s="3" t="s">
        <v>719</v>
      </c>
      <c r="E3" s="3" t="s">
        <v>720</v>
      </c>
      <c r="F3" s="3" t="s">
        <v>128</v>
      </c>
      <c r="H3" s="3" t="s">
        <v>719</v>
      </c>
      <c r="I3" s="3" t="s">
        <v>718</v>
      </c>
    </row>
    <row r="4" spans="1:9" x14ac:dyDescent="0.3">
      <c r="B4" s="21">
        <v>100</v>
      </c>
      <c r="C4" s="39" t="s">
        <v>751</v>
      </c>
      <c r="D4" s="43" t="s">
        <v>722</v>
      </c>
      <c r="E4" s="4">
        <v>3</v>
      </c>
      <c r="F4" s="4">
        <v>1200</v>
      </c>
      <c r="H4" s="4" t="s">
        <v>727</v>
      </c>
      <c r="I4" s="4">
        <f>_xlfn.XLOOKUP(H4,D3:D9,B3:B9)</f>
        <v>102</v>
      </c>
    </row>
    <row r="5" spans="1:9" x14ac:dyDescent="0.3">
      <c r="B5" s="21">
        <v>101</v>
      </c>
      <c r="C5" s="39" t="s">
        <v>758</v>
      </c>
      <c r="D5" s="43" t="s">
        <v>725</v>
      </c>
      <c r="E5" s="4">
        <v>5</v>
      </c>
      <c r="F5" s="4">
        <v>5000</v>
      </c>
    </row>
    <row r="6" spans="1:9" x14ac:dyDescent="0.3">
      <c r="B6" s="21">
        <v>102</v>
      </c>
      <c r="C6" s="39" t="s">
        <v>753</v>
      </c>
      <c r="D6" s="43" t="s">
        <v>727</v>
      </c>
      <c r="E6" s="4">
        <v>6</v>
      </c>
      <c r="F6" s="4">
        <v>230</v>
      </c>
    </row>
    <row r="7" spans="1:9" x14ac:dyDescent="0.3">
      <c r="B7" s="21">
        <v>103</v>
      </c>
      <c r="C7" s="39" t="s">
        <v>754</v>
      </c>
      <c r="D7" s="43" t="s">
        <v>723</v>
      </c>
      <c r="E7" s="4">
        <v>7</v>
      </c>
      <c r="F7" s="4">
        <v>6500</v>
      </c>
    </row>
    <row r="8" spans="1:9" x14ac:dyDescent="0.3">
      <c r="B8" s="21">
        <v>102</v>
      </c>
      <c r="C8" s="39" t="s">
        <v>755</v>
      </c>
      <c r="D8" s="43" t="s">
        <v>730</v>
      </c>
      <c r="E8" s="4">
        <v>4</v>
      </c>
      <c r="F8" s="4">
        <v>45000</v>
      </c>
    </row>
    <row r="9" spans="1:9" x14ac:dyDescent="0.3">
      <c r="B9" s="21">
        <v>105</v>
      </c>
      <c r="C9" s="39" t="s">
        <v>756</v>
      </c>
      <c r="D9" s="43" t="s">
        <v>732</v>
      </c>
      <c r="E9" s="4">
        <v>5</v>
      </c>
      <c r="F9" s="4">
        <v>3000</v>
      </c>
    </row>
    <row r="10" spans="1:9" ht="16.5" customHeight="1" x14ac:dyDescent="0.3">
      <c r="B10" s="30"/>
    </row>
    <row r="11" spans="1:9" x14ac:dyDescent="0.3">
      <c r="B11" s="3" t="s">
        <v>718</v>
      </c>
      <c r="C11" s="3" t="s">
        <v>128</v>
      </c>
    </row>
    <row r="12" spans="1:9" x14ac:dyDescent="0.3">
      <c r="B12" s="4">
        <v>102</v>
      </c>
      <c r="C12" s="4">
        <f>_xlfn.XLOOKUP(B12,B3:B9,F3:F9,"not found",0,-1)</f>
        <v>45000</v>
      </c>
    </row>
    <row r="17" spans="2:8" x14ac:dyDescent="0.3">
      <c r="B17" s="3" t="s">
        <v>718</v>
      </c>
      <c r="C17" s="3" t="s">
        <v>596</v>
      </c>
      <c r="D17" s="3" t="s">
        <v>719</v>
      </c>
      <c r="E17" s="3" t="s">
        <v>720</v>
      </c>
      <c r="F17" s="3" t="s">
        <v>128</v>
      </c>
    </row>
    <row r="18" spans="2:8" x14ac:dyDescent="0.3">
      <c r="B18" s="4">
        <v>100</v>
      </c>
      <c r="C18" s="4" t="s">
        <v>759</v>
      </c>
      <c r="D18" s="4" t="s">
        <v>722</v>
      </c>
      <c r="E18" s="4">
        <v>3</v>
      </c>
      <c r="F18" s="4">
        <v>1200</v>
      </c>
    </row>
    <row r="19" spans="2:8" x14ac:dyDescent="0.3">
      <c r="B19" s="4">
        <v>101</v>
      </c>
      <c r="C19" s="4" t="s">
        <v>760</v>
      </c>
      <c r="D19" s="4" t="s">
        <v>725</v>
      </c>
      <c r="E19" s="4">
        <v>5</v>
      </c>
      <c r="F19" s="4">
        <v>5000</v>
      </c>
    </row>
    <row r="20" spans="2:8" x14ac:dyDescent="0.3">
      <c r="B20" s="4">
        <v>102</v>
      </c>
      <c r="C20" s="4" t="s">
        <v>99</v>
      </c>
      <c r="D20" s="4" t="s">
        <v>727</v>
      </c>
      <c r="E20" s="4">
        <v>6</v>
      </c>
      <c r="F20" s="4">
        <v>230</v>
      </c>
    </row>
    <row r="21" spans="2:8" x14ac:dyDescent="0.3">
      <c r="B21" s="4">
        <v>103</v>
      </c>
      <c r="C21" s="4" t="s">
        <v>761</v>
      </c>
      <c r="D21" s="4" t="s">
        <v>723</v>
      </c>
      <c r="E21" s="4">
        <v>7</v>
      </c>
      <c r="F21" s="4">
        <v>6500</v>
      </c>
    </row>
    <row r="22" spans="2:8" x14ac:dyDescent="0.3">
      <c r="B22" s="4">
        <v>104</v>
      </c>
      <c r="C22" s="4" t="s">
        <v>762</v>
      </c>
      <c r="D22" s="4" t="s">
        <v>730</v>
      </c>
      <c r="E22" s="4">
        <v>4</v>
      </c>
      <c r="F22" s="4">
        <v>45000</v>
      </c>
    </row>
    <row r="23" spans="2:8" x14ac:dyDescent="0.3">
      <c r="B23" s="4">
        <v>105</v>
      </c>
      <c r="C23" s="4" t="s">
        <v>763</v>
      </c>
      <c r="D23" s="4" t="s">
        <v>732</v>
      </c>
      <c r="E23" s="4">
        <v>5</v>
      </c>
      <c r="F23" s="4">
        <v>3000</v>
      </c>
    </row>
    <row r="25" spans="2:8" x14ac:dyDescent="0.3">
      <c r="B25" s="3" t="s">
        <v>718</v>
      </c>
      <c r="C25" s="3" t="s">
        <v>596</v>
      </c>
      <c r="D25" s="3" t="s">
        <v>719</v>
      </c>
      <c r="E25" s="3" t="s">
        <v>720</v>
      </c>
      <c r="F25" s="3" t="s">
        <v>128</v>
      </c>
    </row>
    <row r="26" spans="2:8" x14ac:dyDescent="0.3">
      <c r="B26">
        <v>104</v>
      </c>
      <c r="C26" t="str">
        <f>_xlfn.XLOOKUP($B$26,$B$17:$B$23,C17:C23)</f>
        <v>Laptop</v>
      </c>
      <c r="D26" t="str">
        <f>_xlfn.XLOOKUP($B$26,$B$17:$B$23,D17:D23)</f>
        <v>P005</v>
      </c>
      <c r="E26">
        <f>_xlfn.XLOOKUP($B$26,$B$17:$B$23,E17:E23)</f>
        <v>4</v>
      </c>
      <c r="F26">
        <f>_xlfn.XLOOKUP($B$26,$B$17:$B$23,F17:F23)</f>
        <v>45000</v>
      </c>
    </row>
    <row r="30" spans="2:8" x14ac:dyDescent="0.3">
      <c r="B30" s="12" t="s">
        <v>718</v>
      </c>
      <c r="C30" s="34">
        <v>100</v>
      </c>
      <c r="D30" s="34">
        <v>101</v>
      </c>
      <c r="E30" s="34">
        <v>102</v>
      </c>
      <c r="F30" s="34">
        <v>103</v>
      </c>
      <c r="G30" s="34">
        <v>104</v>
      </c>
      <c r="H30" s="34">
        <v>105</v>
      </c>
    </row>
    <row r="31" spans="2:8" x14ac:dyDescent="0.3">
      <c r="B31" s="12" t="s">
        <v>596</v>
      </c>
      <c r="C31" s="34" t="s">
        <v>759</v>
      </c>
      <c r="D31" s="34" t="s">
        <v>760</v>
      </c>
      <c r="E31" s="34" t="s">
        <v>99</v>
      </c>
      <c r="F31" s="34" t="s">
        <v>761</v>
      </c>
      <c r="G31" s="34" t="s">
        <v>762</v>
      </c>
      <c r="H31" s="34" t="s">
        <v>763</v>
      </c>
    </row>
    <row r="32" spans="2:8" x14ac:dyDescent="0.3">
      <c r="B32" s="12" t="s">
        <v>719</v>
      </c>
      <c r="C32" s="34" t="s">
        <v>722</v>
      </c>
      <c r="D32" s="34" t="s">
        <v>725</v>
      </c>
      <c r="E32" s="34" t="s">
        <v>727</v>
      </c>
      <c r="F32" s="34" t="s">
        <v>723</v>
      </c>
      <c r="G32" s="34" t="s">
        <v>730</v>
      </c>
      <c r="H32" s="34" t="s">
        <v>732</v>
      </c>
    </row>
    <row r="33" spans="2:8" x14ac:dyDescent="0.3">
      <c r="B33" s="12" t="s">
        <v>720</v>
      </c>
      <c r="C33" s="34">
        <v>3</v>
      </c>
      <c r="D33" s="34">
        <v>5</v>
      </c>
      <c r="E33" s="34">
        <v>6</v>
      </c>
      <c r="F33" s="34">
        <v>7</v>
      </c>
      <c r="G33" s="34">
        <v>4</v>
      </c>
      <c r="H33" s="34">
        <v>5</v>
      </c>
    </row>
    <row r="34" spans="2:8" x14ac:dyDescent="0.3">
      <c r="B34" s="12" t="s">
        <v>128</v>
      </c>
      <c r="C34" s="34">
        <v>1200</v>
      </c>
      <c r="D34" s="34">
        <v>5000</v>
      </c>
      <c r="E34" s="34">
        <v>230</v>
      </c>
      <c r="F34" s="34">
        <v>6500</v>
      </c>
      <c r="G34" s="34">
        <v>45000</v>
      </c>
      <c r="H34" s="34">
        <v>3000</v>
      </c>
    </row>
    <row r="36" spans="2:8" x14ac:dyDescent="0.3">
      <c r="B36" s="12" t="s">
        <v>718</v>
      </c>
      <c r="C36" s="34">
        <v>101</v>
      </c>
      <c r="E36" s="12" t="s">
        <v>718</v>
      </c>
      <c r="F36" s="34">
        <v>103</v>
      </c>
    </row>
    <row r="37" spans="2:8" x14ac:dyDescent="0.3">
      <c r="B37" s="12" t="s">
        <v>719</v>
      </c>
      <c r="C37" s="4" t="str">
        <f>_xlfn.XLOOKUP(C36,B30:H30,B32:H32)</f>
        <v>P004</v>
      </c>
      <c r="E37" s="12" t="s">
        <v>596</v>
      </c>
      <c r="F37" s="4" t="str">
        <f>_xlfn.XLOOKUP($F$36,$B$30:$H$30,B31:H31)</f>
        <v>Priner</v>
      </c>
    </row>
    <row r="38" spans="2:8" x14ac:dyDescent="0.3">
      <c r="E38" s="12" t="s">
        <v>719</v>
      </c>
      <c r="F38" s="4" t="str">
        <f>_xlfn.XLOOKUP($F$36,$B$30:$H$30,B32:H32)</f>
        <v>P003</v>
      </c>
    </row>
    <row r="39" spans="2:8" x14ac:dyDescent="0.3">
      <c r="E39" s="12" t="s">
        <v>720</v>
      </c>
      <c r="F39" s="4">
        <f>_xlfn.XLOOKUP($F$36,$B$30:$H$30,B33:H33)</f>
        <v>7</v>
      </c>
    </row>
    <row r="40" spans="2:8" x14ac:dyDescent="0.3">
      <c r="E40" s="12" t="s">
        <v>128</v>
      </c>
      <c r="F40" s="4">
        <f>_xlfn.XLOOKUP($F$36,$B$30:$H$30,B34:H34)</f>
        <v>6500</v>
      </c>
    </row>
  </sheetData>
  <phoneticPr fontId="1" type="noConversion"/>
  <dataValidations count="1">
    <dataValidation type="list" allowBlank="1" showInputMessage="1" showErrorMessage="1" sqref="C11" xr:uid="{CE135811-2FFA-4F59-B686-9332556C14ED}">
      <formula1>$B$3:$F$3</formula1>
    </dataValidation>
  </dataValidations>
  <hyperlinks>
    <hyperlink ref="A2" location="Home!A1" display="Home" xr:uid="{9F3F2B73-6B63-4107-8D36-26F8C948D6A5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FF81-DEA6-4450-B74B-1F486A2414B3}">
  <dimension ref="A1:R20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0.296875" customWidth="1"/>
    <col min="4" max="4" width="8.59765625" customWidth="1"/>
    <col min="10" max="10" width="5.59765625" customWidth="1"/>
    <col min="13" max="13" width="11.5" customWidth="1"/>
  </cols>
  <sheetData>
    <row r="1" spans="1:18" s="2" customFormat="1" ht="32.65" customHeight="1" thickBot="1" x14ac:dyDescent="0.35">
      <c r="A1" s="36">
        <v>69</v>
      </c>
      <c r="B1" s="1" t="s">
        <v>75</v>
      </c>
    </row>
    <row r="2" spans="1:18" ht="16.5" customHeight="1" thickBot="1" x14ac:dyDescent="0.35">
      <c r="A2" s="37" t="s">
        <v>2</v>
      </c>
    </row>
    <row r="3" spans="1:18" ht="27.75" thickTop="1" x14ac:dyDescent="0.3">
      <c r="B3" s="122" t="s">
        <v>764</v>
      </c>
      <c r="C3" s="123" t="s">
        <v>765</v>
      </c>
      <c r="D3" s="123" t="s">
        <v>766</v>
      </c>
      <c r="E3" s="123" t="s">
        <v>767</v>
      </c>
      <c r="F3" s="123" t="s">
        <v>768</v>
      </c>
      <c r="G3" s="123" t="s">
        <v>769</v>
      </c>
      <c r="H3" s="123" t="s">
        <v>770</v>
      </c>
      <c r="I3" s="124" t="s">
        <v>771</v>
      </c>
      <c r="K3" s="113" t="s">
        <v>772</v>
      </c>
      <c r="L3" s="113"/>
      <c r="M3" s="113"/>
      <c r="N3" s="113"/>
      <c r="O3" s="113"/>
      <c r="P3" s="113"/>
      <c r="Q3" s="113"/>
      <c r="R3" s="114"/>
    </row>
    <row r="4" spans="1:18" ht="19.5" thickBot="1" x14ac:dyDescent="0.35">
      <c r="B4" s="106" t="s">
        <v>773</v>
      </c>
      <c r="C4" s="107">
        <v>200</v>
      </c>
      <c r="D4" s="107">
        <v>3000</v>
      </c>
      <c r="E4" s="107" t="s">
        <v>774</v>
      </c>
      <c r="F4" s="108">
        <v>4.5</v>
      </c>
      <c r="G4" s="107">
        <v>4</v>
      </c>
      <c r="H4" s="107">
        <v>3</v>
      </c>
      <c r="I4" s="109">
        <f t="shared" ref="I4:I19" si="0">F4*G4*H4</f>
        <v>54</v>
      </c>
      <c r="R4" s="115"/>
    </row>
    <row r="5" spans="1:18" ht="19.5" thickTop="1" x14ac:dyDescent="0.3">
      <c r="B5" s="106" t="s">
        <v>775</v>
      </c>
      <c r="C5" s="107">
        <v>100</v>
      </c>
      <c r="D5" s="107">
        <v>2000</v>
      </c>
      <c r="E5" s="107" t="s">
        <v>774</v>
      </c>
      <c r="F5" s="108">
        <v>2</v>
      </c>
      <c r="G5" s="107">
        <v>15</v>
      </c>
      <c r="H5" s="107">
        <v>2</v>
      </c>
      <c r="I5" s="109">
        <f t="shared" si="0"/>
        <v>60</v>
      </c>
      <c r="N5" s="116" t="s">
        <v>767</v>
      </c>
      <c r="O5" s="117" t="s">
        <v>776</v>
      </c>
      <c r="R5" s="115"/>
    </row>
    <row r="6" spans="1:18" ht="19.5" thickBot="1" x14ac:dyDescent="0.35">
      <c r="B6" s="106" t="s">
        <v>777</v>
      </c>
      <c r="C6" s="107">
        <v>60</v>
      </c>
      <c r="D6" s="107"/>
      <c r="E6" s="107"/>
      <c r="F6" s="108"/>
      <c r="G6" s="107"/>
      <c r="H6" s="107"/>
      <c r="I6" s="109">
        <f t="shared" si="0"/>
        <v>0</v>
      </c>
      <c r="K6" s="147" t="s">
        <v>778</v>
      </c>
      <c r="L6" s="147"/>
      <c r="M6" s="148"/>
      <c r="N6" s="118" t="s">
        <v>774</v>
      </c>
      <c r="R6" s="115"/>
    </row>
    <row r="7" spans="1:18" ht="19.5" thickTop="1" x14ac:dyDescent="0.3">
      <c r="B7" s="106" t="s">
        <v>779</v>
      </c>
      <c r="C7" s="107">
        <v>10</v>
      </c>
      <c r="D7" s="107">
        <v>8000</v>
      </c>
      <c r="E7" s="107" t="s">
        <v>780</v>
      </c>
      <c r="F7" s="108">
        <v>0.8</v>
      </c>
      <c r="G7" s="107">
        <v>25</v>
      </c>
      <c r="H7" s="107">
        <v>6</v>
      </c>
      <c r="I7" s="109">
        <f t="shared" si="0"/>
        <v>120</v>
      </c>
      <c r="R7" s="115"/>
    </row>
    <row r="8" spans="1:18" ht="16.5" customHeight="1" x14ac:dyDescent="0.3">
      <c r="B8" s="106" t="s">
        <v>773</v>
      </c>
      <c r="C8" s="107">
        <v>80</v>
      </c>
      <c r="D8" s="107">
        <v>1000</v>
      </c>
      <c r="E8" s="107" t="s">
        <v>774</v>
      </c>
      <c r="F8" s="108">
        <v>0.2</v>
      </c>
      <c r="G8" s="107">
        <v>40</v>
      </c>
      <c r="H8" s="107">
        <v>3</v>
      </c>
      <c r="I8" s="109">
        <f t="shared" si="0"/>
        <v>24</v>
      </c>
      <c r="K8" t="str">
        <f>"The SUM value of "&amp;N6&amp;" is : "</f>
        <v xml:space="preserve">The SUM value of Horizon is : </v>
      </c>
      <c r="M8" s="121"/>
      <c r="N8" s="119"/>
      <c r="O8" s="120"/>
      <c r="R8" s="115"/>
    </row>
    <row r="9" spans="1:18" x14ac:dyDescent="0.3">
      <c r="B9" s="106" t="s">
        <v>777</v>
      </c>
      <c r="C9" s="107">
        <v>100</v>
      </c>
      <c r="D9" s="107" t="s">
        <v>781</v>
      </c>
      <c r="E9" s="107" t="s">
        <v>774</v>
      </c>
      <c r="F9" s="108">
        <v>1.25</v>
      </c>
      <c r="G9" s="107">
        <v>10</v>
      </c>
      <c r="H9" s="107">
        <v>4</v>
      </c>
      <c r="I9" s="109">
        <f t="shared" si="0"/>
        <v>50</v>
      </c>
      <c r="R9" s="115"/>
    </row>
    <row r="10" spans="1:18" x14ac:dyDescent="0.3">
      <c r="B10" s="106" t="s">
        <v>777</v>
      </c>
      <c r="C10" s="107">
        <v>200</v>
      </c>
      <c r="D10" s="107">
        <v>3000</v>
      </c>
      <c r="E10" s="107" t="s">
        <v>774</v>
      </c>
      <c r="F10" s="108">
        <v>2.5</v>
      </c>
      <c r="G10" s="107">
        <v>15</v>
      </c>
      <c r="H10" s="107">
        <v>1</v>
      </c>
      <c r="I10" s="109">
        <f t="shared" si="0"/>
        <v>37.5</v>
      </c>
    </row>
    <row r="11" spans="1:18" x14ac:dyDescent="0.3">
      <c r="B11" s="106" t="s">
        <v>779</v>
      </c>
      <c r="C11" s="107">
        <v>25</v>
      </c>
      <c r="D11" s="107" t="s">
        <v>781</v>
      </c>
      <c r="E11" s="107" t="s">
        <v>780</v>
      </c>
      <c r="F11" s="108">
        <v>0.5</v>
      </c>
      <c r="G11" s="107">
        <v>10</v>
      </c>
      <c r="H11" s="107">
        <v>3</v>
      </c>
      <c r="I11" s="109">
        <f t="shared" si="0"/>
        <v>15</v>
      </c>
    </row>
    <row r="12" spans="1:18" x14ac:dyDescent="0.3">
      <c r="B12" s="106" t="s">
        <v>773</v>
      </c>
      <c r="C12" s="107">
        <v>200</v>
      </c>
      <c r="D12" s="107">
        <v>3000</v>
      </c>
      <c r="E12" s="107" t="s">
        <v>780</v>
      </c>
      <c r="F12" s="108">
        <v>5</v>
      </c>
      <c r="G12" s="107">
        <v>3</v>
      </c>
      <c r="H12" s="107">
        <v>2</v>
      </c>
      <c r="I12" s="109">
        <f t="shared" si="0"/>
        <v>30</v>
      </c>
    </row>
    <row r="13" spans="1:18" x14ac:dyDescent="0.3">
      <c r="B13" s="106" t="s">
        <v>775</v>
      </c>
      <c r="C13" s="107">
        <v>100</v>
      </c>
      <c r="D13" s="107">
        <v>2000</v>
      </c>
      <c r="E13" s="107" t="s">
        <v>780</v>
      </c>
      <c r="F13" s="108">
        <v>1.8</v>
      </c>
      <c r="G13" s="107">
        <v>20</v>
      </c>
      <c r="H13" s="107">
        <v>5</v>
      </c>
      <c r="I13" s="109">
        <f t="shared" si="0"/>
        <v>180</v>
      </c>
    </row>
    <row r="14" spans="1:18" x14ac:dyDescent="0.3">
      <c r="B14" s="106" t="s">
        <v>773</v>
      </c>
      <c r="C14" s="107">
        <v>100</v>
      </c>
      <c r="D14" s="107" t="s">
        <v>781</v>
      </c>
      <c r="E14" s="107" t="s">
        <v>780</v>
      </c>
      <c r="F14" s="108">
        <v>0.25</v>
      </c>
      <c r="G14" s="107">
        <v>10</v>
      </c>
      <c r="H14" s="107">
        <v>5</v>
      </c>
      <c r="I14" s="109">
        <f t="shared" si="0"/>
        <v>12.5</v>
      </c>
    </row>
    <row r="15" spans="1:18" x14ac:dyDescent="0.3">
      <c r="B15" s="106" t="s">
        <v>773</v>
      </c>
      <c r="C15" s="107">
        <v>10</v>
      </c>
      <c r="D15" s="107">
        <v>800</v>
      </c>
      <c r="E15" s="107" t="s">
        <v>774</v>
      </c>
      <c r="F15" s="108">
        <v>0.2</v>
      </c>
      <c r="G15" s="107">
        <v>25</v>
      </c>
      <c r="H15" s="107">
        <v>2</v>
      </c>
      <c r="I15" s="109">
        <f t="shared" si="0"/>
        <v>10</v>
      </c>
      <c r="K15" s="149" t="s">
        <v>782</v>
      </c>
      <c r="L15" s="149"/>
    </row>
    <row r="16" spans="1:18" x14ac:dyDescent="0.3">
      <c r="B16" s="106" t="s">
        <v>773</v>
      </c>
      <c r="C16" s="107">
        <v>60</v>
      </c>
      <c r="D16" s="107">
        <v>1000</v>
      </c>
      <c r="E16" s="107" t="s">
        <v>780</v>
      </c>
      <c r="F16" s="108">
        <v>0.15</v>
      </c>
      <c r="G16" s="107">
        <v>25</v>
      </c>
      <c r="H16" s="107">
        <v>1</v>
      </c>
      <c r="I16" s="109">
        <f t="shared" si="0"/>
        <v>3.75</v>
      </c>
      <c r="K16" s="4" t="s">
        <v>774</v>
      </c>
      <c r="L16" s="4" t="s">
        <v>773</v>
      </c>
    </row>
    <row r="17" spans="2:12" x14ac:dyDescent="0.3">
      <c r="B17" s="106" t="s">
        <v>773</v>
      </c>
      <c r="C17" s="107">
        <v>80</v>
      </c>
      <c r="D17" s="107">
        <v>1000</v>
      </c>
      <c r="E17" s="107" t="s">
        <v>780</v>
      </c>
      <c r="F17" s="108">
        <v>0.2</v>
      </c>
      <c r="G17" s="107">
        <v>30</v>
      </c>
      <c r="H17" s="107">
        <v>2</v>
      </c>
      <c r="I17" s="109">
        <f t="shared" si="0"/>
        <v>12</v>
      </c>
      <c r="K17" s="4" t="s">
        <v>780</v>
      </c>
      <c r="L17" s="4" t="s">
        <v>775</v>
      </c>
    </row>
    <row r="18" spans="2:12" x14ac:dyDescent="0.3">
      <c r="B18" s="106" t="s">
        <v>773</v>
      </c>
      <c r="C18" s="107">
        <v>100</v>
      </c>
      <c r="D18" s="107">
        <v>2000</v>
      </c>
      <c r="E18" s="107" t="s">
        <v>774</v>
      </c>
      <c r="F18" s="108">
        <v>0.8</v>
      </c>
      <c r="G18" s="107">
        <v>10</v>
      </c>
      <c r="H18" s="107">
        <v>5</v>
      </c>
      <c r="I18" s="109">
        <f t="shared" si="0"/>
        <v>40</v>
      </c>
      <c r="K18" s="4"/>
      <c r="L18" s="4" t="s">
        <v>777</v>
      </c>
    </row>
    <row r="19" spans="2:12" ht="19.5" thickBot="1" x14ac:dyDescent="0.35">
      <c r="B19" s="110" t="s">
        <v>773</v>
      </c>
      <c r="C19" s="111">
        <v>40</v>
      </c>
      <c r="D19" s="111">
        <v>1000</v>
      </c>
      <c r="E19" s="111" t="s">
        <v>774</v>
      </c>
      <c r="F19" s="112">
        <v>0.1</v>
      </c>
      <c r="G19" s="111">
        <v>20</v>
      </c>
      <c r="H19" s="111">
        <v>5</v>
      </c>
      <c r="I19" s="109">
        <f t="shared" si="0"/>
        <v>10</v>
      </c>
      <c r="K19" s="4"/>
      <c r="L19" s="4" t="s">
        <v>779</v>
      </c>
    </row>
    <row r="20" spans="2:12" ht="19.5" thickTop="1" x14ac:dyDescent="0.3"/>
  </sheetData>
  <mergeCells count="2">
    <mergeCell ref="K6:M6"/>
    <mergeCell ref="K15:L15"/>
  </mergeCells>
  <phoneticPr fontId="1" type="noConversion"/>
  <hyperlinks>
    <hyperlink ref="A2" location="Home!A1" display="Home" xr:uid="{02E7BF4A-EF89-49C3-A130-14CEE8D2AEF3}"/>
  </hyperlinks>
  <pageMargins left="0.7" right="0.7" top="0.75" bottom="0.75" header="0.3" footer="0.3"/>
  <drawing r:id="rId1"/>
  <legacy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B11F-4B53-4A9D-A3B3-D2AB31C00602}">
  <dimension ref="A1:M26"/>
  <sheetViews>
    <sheetView zoomScale="130" zoomScaleNormal="130" workbookViewId="0">
      <pane ySplit="1" topLeftCell="A15" activePane="bottomLeft" state="frozen"/>
      <selection pane="bottomLeft" activeCell="C16" sqref="C16:E17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70</v>
      </c>
      <c r="B1" s="150" t="s">
        <v>76</v>
      </c>
      <c r="C1" s="150"/>
    </row>
    <row r="2" spans="1:13" x14ac:dyDescent="0.3">
      <c r="A2" s="37" t="s">
        <v>2</v>
      </c>
    </row>
    <row r="3" spans="1:13" x14ac:dyDescent="0.3">
      <c r="B3" s="3" t="s">
        <v>783</v>
      </c>
      <c r="C3" s="3" t="s">
        <v>83</v>
      </c>
      <c r="D3" s="3" t="s">
        <v>84</v>
      </c>
      <c r="E3" s="42" t="s">
        <v>96</v>
      </c>
      <c r="G3" s="3" t="s">
        <v>83</v>
      </c>
      <c r="H3" s="3" t="s">
        <v>84</v>
      </c>
      <c r="K3" s="38"/>
      <c r="L3" s="38"/>
      <c r="M3" s="38"/>
    </row>
    <row r="4" spans="1:13" x14ac:dyDescent="0.3">
      <c r="B4" s="4" t="s">
        <v>722</v>
      </c>
      <c r="C4" s="39" t="s">
        <v>784</v>
      </c>
      <c r="D4" s="21" t="s">
        <v>90</v>
      </c>
      <c r="E4" s="39">
        <v>18500</v>
      </c>
      <c r="G4" s="4" t="s">
        <v>785</v>
      </c>
      <c r="H4" s="4" t="s">
        <v>547</v>
      </c>
    </row>
    <row r="5" spans="1:13" x14ac:dyDescent="0.3">
      <c r="B5" s="4" t="s">
        <v>727</v>
      </c>
      <c r="C5" s="39" t="s">
        <v>130</v>
      </c>
      <c r="D5" s="21" t="s">
        <v>92</v>
      </c>
      <c r="E5" s="39">
        <v>6200</v>
      </c>
    </row>
    <row r="6" spans="1:13" x14ac:dyDescent="0.3">
      <c r="B6" s="4" t="s">
        <v>723</v>
      </c>
      <c r="C6" s="39" t="s">
        <v>120</v>
      </c>
      <c r="D6" s="21" t="s">
        <v>94</v>
      </c>
      <c r="E6" s="39">
        <v>32500</v>
      </c>
      <c r="G6" s="3" t="s">
        <v>783</v>
      </c>
      <c r="H6" s="3" t="s">
        <v>83</v>
      </c>
      <c r="I6" s="3" t="s">
        <v>84</v>
      </c>
      <c r="J6" s="3" t="s">
        <v>96</v>
      </c>
    </row>
    <row r="7" spans="1:13" x14ac:dyDescent="0.3">
      <c r="B7" s="4" t="s">
        <v>725</v>
      </c>
      <c r="C7" s="39" t="s">
        <v>784</v>
      </c>
      <c r="D7" s="21" t="s">
        <v>90</v>
      </c>
      <c r="E7" s="39">
        <v>29500</v>
      </c>
      <c r="G7" t="str">
        <f t="array" ref="G7:J9">_xlfn._xlws.FILTER(B3:E13,(G4=C3:C13)*(H4=D3:D13))</f>
        <v>P002</v>
      </c>
      <c r="H7" t="str">
        <v>Jeans</v>
      </c>
      <c r="I7" t="str">
        <v>West</v>
      </c>
      <c r="J7">
        <v>6200</v>
      </c>
    </row>
    <row r="8" spans="1:13" x14ac:dyDescent="0.3">
      <c r="B8" s="4" t="s">
        <v>730</v>
      </c>
      <c r="C8" s="39" t="s">
        <v>130</v>
      </c>
      <c r="D8" s="21" t="s">
        <v>92</v>
      </c>
      <c r="E8" s="39">
        <v>9400</v>
      </c>
      <c r="G8" t="str">
        <v>P005</v>
      </c>
      <c r="H8" t="str">
        <v>Jeans</v>
      </c>
      <c r="I8" t="str">
        <v>West</v>
      </c>
      <c r="J8">
        <v>9400</v>
      </c>
    </row>
    <row r="9" spans="1:13" x14ac:dyDescent="0.3">
      <c r="B9" s="4" t="s">
        <v>732</v>
      </c>
      <c r="C9" s="39" t="s">
        <v>120</v>
      </c>
      <c r="D9" s="21" t="s">
        <v>94</v>
      </c>
      <c r="E9" s="39">
        <v>7800</v>
      </c>
      <c r="G9" t="str">
        <v>P008</v>
      </c>
      <c r="H9" t="str">
        <v>Jeans</v>
      </c>
      <c r="I9" t="str">
        <v>West</v>
      </c>
      <c r="J9">
        <v>6600</v>
      </c>
    </row>
    <row r="10" spans="1:13" x14ac:dyDescent="0.3">
      <c r="B10" s="4" t="s">
        <v>786</v>
      </c>
      <c r="C10" s="39" t="s">
        <v>784</v>
      </c>
      <c r="D10" s="21" t="s">
        <v>90</v>
      </c>
      <c r="E10" s="39">
        <v>27500</v>
      </c>
    </row>
    <row r="11" spans="1:13" x14ac:dyDescent="0.3">
      <c r="B11" s="4" t="s">
        <v>787</v>
      </c>
      <c r="C11" s="39" t="s">
        <v>130</v>
      </c>
      <c r="D11" s="21" t="s">
        <v>92</v>
      </c>
      <c r="E11" s="39">
        <v>6600</v>
      </c>
    </row>
    <row r="12" spans="1:13" x14ac:dyDescent="0.3">
      <c r="B12" s="4" t="s">
        <v>788</v>
      </c>
      <c r="C12" s="39" t="s">
        <v>789</v>
      </c>
      <c r="D12" s="21" t="s">
        <v>90</v>
      </c>
      <c r="E12" s="39">
        <v>6100</v>
      </c>
    </row>
    <row r="13" spans="1:13" x14ac:dyDescent="0.3">
      <c r="B13" s="4" t="s">
        <v>790</v>
      </c>
      <c r="C13" s="39" t="s">
        <v>129</v>
      </c>
      <c r="D13" s="21" t="s">
        <v>90</v>
      </c>
      <c r="E13" s="39">
        <v>28000</v>
      </c>
    </row>
    <row r="16" spans="1:13" x14ac:dyDescent="0.3">
      <c r="B16" s="3" t="s">
        <v>791</v>
      </c>
      <c r="C16" s="3" t="s">
        <v>783</v>
      </c>
      <c r="D16" s="3" t="s">
        <v>83</v>
      </c>
      <c r="E16" s="3" t="s">
        <v>84</v>
      </c>
      <c r="G16" s="3" t="s">
        <v>792</v>
      </c>
      <c r="H16" s="27">
        <v>45292</v>
      </c>
    </row>
    <row r="17" spans="2:10" x14ac:dyDescent="0.3">
      <c r="B17" s="27">
        <v>45292</v>
      </c>
      <c r="C17" s="4" t="s">
        <v>722</v>
      </c>
      <c r="D17" s="39" t="s">
        <v>784</v>
      </c>
      <c r="E17" s="4" t="s">
        <v>90</v>
      </c>
      <c r="G17" s="31" t="s">
        <v>634</v>
      </c>
      <c r="H17" s="27">
        <v>45301</v>
      </c>
    </row>
    <row r="18" spans="2:10" x14ac:dyDescent="0.3">
      <c r="B18" s="27">
        <v>45296</v>
      </c>
      <c r="C18" s="4" t="s">
        <v>727</v>
      </c>
      <c r="D18" s="39" t="s">
        <v>130</v>
      </c>
      <c r="E18" s="4" t="s">
        <v>92</v>
      </c>
    </row>
    <row r="19" spans="2:10" x14ac:dyDescent="0.3">
      <c r="B19" s="27">
        <v>45298</v>
      </c>
      <c r="C19" s="4" t="s">
        <v>723</v>
      </c>
      <c r="D19" s="39" t="s">
        <v>120</v>
      </c>
      <c r="E19" s="4" t="s">
        <v>94</v>
      </c>
      <c r="G19" s="3" t="s">
        <v>791</v>
      </c>
      <c r="H19" s="3" t="s">
        <v>783</v>
      </c>
      <c r="I19" s="3" t="s">
        <v>83</v>
      </c>
      <c r="J19" s="3" t="s">
        <v>84</v>
      </c>
    </row>
    <row r="20" spans="2:10" x14ac:dyDescent="0.3">
      <c r="B20" s="27">
        <v>45306</v>
      </c>
      <c r="C20" s="4" t="s">
        <v>725</v>
      </c>
      <c r="D20" s="39" t="s">
        <v>784</v>
      </c>
      <c r="E20" s="4" t="s">
        <v>90</v>
      </c>
      <c r="G20" s="30">
        <f t="array" ref="G20:J24">_xlfn._xlws.FILTER(B16:E26,(H16&lt;=B16:B26)*(H17&gt;=B16:B26))</f>
        <v>45292</v>
      </c>
      <c r="H20" t="str">
        <v>P001</v>
      </c>
      <c r="I20" t="str">
        <v>T-Shirt</v>
      </c>
      <c r="J20" t="str">
        <v>East</v>
      </c>
    </row>
    <row r="21" spans="2:10" x14ac:dyDescent="0.3">
      <c r="B21" s="27">
        <v>45307</v>
      </c>
      <c r="C21" s="4" t="s">
        <v>730</v>
      </c>
      <c r="D21" s="39" t="s">
        <v>130</v>
      </c>
      <c r="E21" s="4" t="s">
        <v>92</v>
      </c>
      <c r="G21" s="30">
        <v>45296</v>
      </c>
      <c r="H21" t="str">
        <v>P002</v>
      </c>
      <c r="I21" t="str">
        <v>Jeans</v>
      </c>
      <c r="J21" t="str">
        <v>West</v>
      </c>
    </row>
    <row r="22" spans="2:10" x14ac:dyDescent="0.3">
      <c r="B22" s="27">
        <v>45308</v>
      </c>
      <c r="C22" s="4" t="s">
        <v>732</v>
      </c>
      <c r="D22" s="39" t="s">
        <v>120</v>
      </c>
      <c r="E22" s="4" t="s">
        <v>94</v>
      </c>
      <c r="G22" s="30">
        <v>45298</v>
      </c>
      <c r="H22" t="str">
        <v>P003</v>
      </c>
      <c r="I22" t="str">
        <v>Jacket</v>
      </c>
      <c r="J22" t="str">
        <v>North</v>
      </c>
    </row>
    <row r="23" spans="2:10" x14ac:dyDescent="0.3">
      <c r="B23" s="27">
        <v>45334</v>
      </c>
      <c r="C23" s="4" t="s">
        <v>786</v>
      </c>
      <c r="D23" s="39" t="s">
        <v>784</v>
      </c>
      <c r="E23" s="4" t="s">
        <v>90</v>
      </c>
      <c r="G23" s="30">
        <v>45296</v>
      </c>
      <c r="H23" t="str">
        <v>P008</v>
      </c>
      <c r="I23" t="str">
        <v>Jeans</v>
      </c>
      <c r="J23" t="str">
        <v>West</v>
      </c>
    </row>
    <row r="24" spans="2:10" x14ac:dyDescent="0.3">
      <c r="B24" s="27">
        <v>45296</v>
      </c>
      <c r="C24" s="4" t="s">
        <v>787</v>
      </c>
      <c r="D24" s="39" t="s">
        <v>130</v>
      </c>
      <c r="E24" s="4" t="s">
        <v>92</v>
      </c>
      <c r="G24" s="30">
        <v>45298</v>
      </c>
      <c r="H24" t="str">
        <v>P009</v>
      </c>
      <c r="I24" t="str">
        <v>Hoodie</v>
      </c>
      <c r="J24" t="str">
        <v>East</v>
      </c>
    </row>
    <row r="25" spans="2:10" x14ac:dyDescent="0.3">
      <c r="B25" s="27">
        <v>45298</v>
      </c>
      <c r="C25" s="4" t="s">
        <v>788</v>
      </c>
      <c r="D25" s="39" t="s">
        <v>789</v>
      </c>
      <c r="E25" s="4" t="s">
        <v>90</v>
      </c>
    </row>
    <row r="26" spans="2:10" x14ac:dyDescent="0.3">
      <c r="B26" s="27">
        <v>45306</v>
      </c>
      <c r="C26" s="4" t="s">
        <v>790</v>
      </c>
      <c r="D26" s="39" t="s">
        <v>129</v>
      </c>
      <c r="E26" s="4" t="s">
        <v>90</v>
      </c>
    </row>
  </sheetData>
  <mergeCells count="1">
    <mergeCell ref="B1:C1"/>
  </mergeCells>
  <phoneticPr fontId="1" type="noConversion"/>
  <hyperlinks>
    <hyperlink ref="A2" location="Home!A1" display="Home" xr:uid="{EED77AD7-A158-4C23-954A-271D2B70E9A7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92E9-F547-4ECC-9A51-DAC2C1969ECD}">
  <dimension ref="A1:M16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8.3984375" customWidth="1"/>
    <col min="3" max="3" width="13.3984375" customWidth="1"/>
    <col min="4" max="4" width="13.19921875" customWidth="1"/>
    <col min="5" max="5" width="19.69921875" bestFit="1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71</v>
      </c>
      <c r="B1" s="1" t="s">
        <v>77</v>
      </c>
      <c r="C1" s="1"/>
    </row>
    <row r="2" spans="1:13" x14ac:dyDescent="0.3">
      <c r="A2" s="37" t="s">
        <v>2</v>
      </c>
    </row>
    <row r="3" spans="1:13" x14ac:dyDescent="0.3">
      <c r="L3" s="38"/>
      <c r="M3" s="38"/>
    </row>
    <row r="5" spans="1:13" x14ac:dyDescent="0.3">
      <c r="B5" s="31" t="s">
        <v>793</v>
      </c>
      <c r="C5" s="31" t="s">
        <v>794</v>
      </c>
      <c r="D5" s="31" t="s">
        <v>795</v>
      </c>
      <c r="E5" s="31" t="s">
        <v>796</v>
      </c>
      <c r="F5" s="31" t="s">
        <v>346</v>
      </c>
      <c r="G5" s="31"/>
    </row>
    <row r="6" spans="1:13" x14ac:dyDescent="0.3">
      <c r="B6" s="4" t="s">
        <v>797</v>
      </c>
      <c r="C6" s="4" t="s">
        <v>798</v>
      </c>
      <c r="D6" s="4" t="s">
        <v>799</v>
      </c>
      <c r="E6" s="4" t="s">
        <v>800</v>
      </c>
      <c r="F6" s="4" t="s">
        <v>801</v>
      </c>
      <c r="G6" s="4"/>
    </row>
    <row r="7" spans="1:13" x14ac:dyDescent="0.3">
      <c r="B7" s="4" t="s">
        <v>802</v>
      </c>
      <c r="C7" s="4" t="s">
        <v>803</v>
      </c>
      <c r="D7" s="4" t="s">
        <v>804</v>
      </c>
      <c r="E7" s="4" t="s">
        <v>805</v>
      </c>
      <c r="F7" s="4" t="s">
        <v>806</v>
      </c>
      <c r="G7" s="4"/>
    </row>
    <row r="8" spans="1:13" x14ac:dyDescent="0.3">
      <c r="B8" s="4" t="s">
        <v>807</v>
      </c>
      <c r="C8" s="4" t="s">
        <v>808</v>
      </c>
      <c r="D8" s="4" t="s">
        <v>809</v>
      </c>
      <c r="E8" s="4" t="s">
        <v>810</v>
      </c>
      <c r="F8" s="4" t="s">
        <v>811</v>
      </c>
      <c r="G8" s="4"/>
    </row>
    <row r="9" spans="1:13" x14ac:dyDescent="0.3">
      <c r="B9" s="4" t="s">
        <v>812</v>
      </c>
      <c r="C9" s="4" t="s">
        <v>813</v>
      </c>
      <c r="D9" s="4" t="s">
        <v>814</v>
      </c>
      <c r="E9" s="4" t="s">
        <v>815</v>
      </c>
      <c r="F9" s="4" t="s">
        <v>816</v>
      </c>
      <c r="G9" s="4"/>
    </row>
    <row r="10" spans="1:13" x14ac:dyDescent="0.3">
      <c r="B10" s="4" t="s">
        <v>817</v>
      </c>
      <c r="C10" s="4" t="s">
        <v>818</v>
      </c>
      <c r="D10" s="4" t="s">
        <v>819</v>
      </c>
      <c r="E10" s="4" t="s">
        <v>820</v>
      </c>
      <c r="F10" s="4" t="s">
        <v>821</v>
      </c>
      <c r="G10" s="4"/>
    </row>
    <row r="11" spans="1:13" x14ac:dyDescent="0.3">
      <c r="B11" s="4" t="s">
        <v>822</v>
      </c>
      <c r="C11" s="4" t="s">
        <v>823</v>
      </c>
      <c r="D11" s="4" t="s">
        <v>824</v>
      </c>
      <c r="E11" s="4" t="s">
        <v>825</v>
      </c>
      <c r="F11" s="4" t="s">
        <v>826</v>
      </c>
      <c r="G11" s="4"/>
    </row>
    <row r="12" spans="1:13" x14ac:dyDescent="0.3">
      <c r="B12" s="4" t="s">
        <v>827</v>
      </c>
      <c r="C12" s="4" t="s">
        <v>828</v>
      </c>
      <c r="D12" s="4" t="s">
        <v>829</v>
      </c>
      <c r="E12" s="4" t="s">
        <v>830</v>
      </c>
      <c r="F12" s="4" t="s">
        <v>831</v>
      </c>
      <c r="G12" s="4"/>
    </row>
    <row r="15" spans="1:13" x14ac:dyDescent="0.3">
      <c r="B15" s="31" t="s">
        <v>793</v>
      </c>
      <c r="C15" s="31" t="s">
        <v>794</v>
      </c>
      <c r="D15" s="31" t="s">
        <v>795</v>
      </c>
      <c r="E15" s="31" t="s">
        <v>796</v>
      </c>
      <c r="F15" s="31" t="s">
        <v>346</v>
      </c>
      <c r="G15" s="31"/>
    </row>
    <row r="16" spans="1:13" x14ac:dyDescent="0.3">
      <c r="B16" s="4" t="s">
        <v>812</v>
      </c>
      <c r="C16" s="4" t="str">
        <f>VLOOKUP(B16,B5:G12,2,0)</f>
        <v>Stackpole</v>
      </c>
      <c r="D16" s="4"/>
      <c r="E16" s="4" t="str">
        <f>VLOOKUP(B16,B5:G12,4,0)</f>
        <v>StackpoleL@PBY.com</v>
      </c>
      <c r="F16" s="4"/>
      <c r="G16" s="4"/>
    </row>
  </sheetData>
  <hyperlinks>
    <hyperlink ref="A2" location="Home!A1" display="Home" xr:uid="{F1348616-B2CF-4DD2-9F0A-5494D4159947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552F-4E8A-4072-9AD7-B09B4BEA0BD7}">
  <dimension ref="A1:M18"/>
  <sheetViews>
    <sheetView zoomScale="130" zoomScaleNormal="13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72</v>
      </c>
      <c r="B1" s="150" t="s">
        <v>78</v>
      </c>
      <c r="C1" s="150"/>
    </row>
    <row r="2" spans="1:13" x14ac:dyDescent="0.3">
      <c r="A2" s="37" t="s">
        <v>2</v>
      </c>
    </row>
    <row r="3" spans="1:13" x14ac:dyDescent="0.3">
      <c r="L3" s="38"/>
      <c r="M3" s="38"/>
    </row>
    <row r="4" spans="1:13" x14ac:dyDescent="0.3">
      <c r="B4" s="92" t="s">
        <v>832</v>
      </c>
      <c r="C4" s="92" t="s">
        <v>363</v>
      </c>
      <c r="D4" s="92" t="s">
        <v>833</v>
      </c>
      <c r="E4" s="92" t="s">
        <v>834</v>
      </c>
    </row>
    <row r="5" spans="1:13" x14ac:dyDescent="0.3">
      <c r="B5" s="93" t="s">
        <v>835</v>
      </c>
      <c r="C5" s="94">
        <v>16753</v>
      </c>
      <c r="D5" s="93" t="s">
        <v>836</v>
      </c>
      <c r="E5" s="93" t="s">
        <v>837</v>
      </c>
    </row>
    <row r="6" spans="1:13" x14ac:dyDescent="0.3">
      <c r="B6" s="95" t="s">
        <v>838</v>
      </c>
      <c r="C6" s="96">
        <v>14808</v>
      </c>
      <c r="D6" s="95" t="s">
        <v>839</v>
      </c>
      <c r="E6" s="95" t="s">
        <v>840</v>
      </c>
    </row>
    <row r="7" spans="1:13" x14ac:dyDescent="0.3">
      <c r="B7" s="97" t="s">
        <v>841</v>
      </c>
      <c r="C7" s="98">
        <v>10644</v>
      </c>
      <c r="D7" s="97" t="s">
        <v>836</v>
      </c>
      <c r="E7" s="97" t="s">
        <v>842</v>
      </c>
    </row>
    <row r="8" spans="1:13" x14ac:dyDescent="0.3">
      <c r="B8" s="97" t="s">
        <v>843</v>
      </c>
      <c r="C8" s="98">
        <v>1390</v>
      </c>
      <c r="D8" s="97" t="s">
        <v>839</v>
      </c>
      <c r="E8" s="97" t="s">
        <v>837</v>
      </c>
    </row>
    <row r="9" spans="1:13" x14ac:dyDescent="0.3">
      <c r="B9" s="95" t="s">
        <v>844</v>
      </c>
      <c r="C9" s="96">
        <v>4865</v>
      </c>
      <c r="D9" s="95" t="s">
        <v>839</v>
      </c>
      <c r="E9" s="95" t="s">
        <v>840</v>
      </c>
    </row>
    <row r="10" spans="1:13" x14ac:dyDescent="0.3">
      <c r="B10" s="99" t="s">
        <v>841</v>
      </c>
      <c r="C10" s="100">
        <v>12438</v>
      </c>
      <c r="D10" s="99" t="s">
        <v>836</v>
      </c>
      <c r="E10" s="99" t="s">
        <v>845</v>
      </c>
    </row>
    <row r="11" spans="1:13" x14ac:dyDescent="0.3">
      <c r="B11" s="101" t="s">
        <v>838</v>
      </c>
      <c r="C11" s="102">
        <v>9339</v>
      </c>
      <c r="D11" s="101" t="s">
        <v>836</v>
      </c>
      <c r="E11" s="101" t="s">
        <v>842</v>
      </c>
    </row>
    <row r="12" spans="1:13" x14ac:dyDescent="0.3">
      <c r="B12" s="103" t="s">
        <v>835</v>
      </c>
      <c r="C12" s="104">
        <v>18919</v>
      </c>
      <c r="D12" s="103" t="s">
        <v>839</v>
      </c>
      <c r="E12" s="103" t="s">
        <v>837</v>
      </c>
    </row>
    <row r="13" spans="1:13" x14ac:dyDescent="0.3">
      <c r="B13" s="95" t="s">
        <v>843</v>
      </c>
      <c r="C13" s="96">
        <v>9213</v>
      </c>
      <c r="D13" s="95" t="s">
        <v>839</v>
      </c>
      <c r="E13" s="95" t="s">
        <v>840</v>
      </c>
    </row>
    <row r="14" spans="1:13" x14ac:dyDescent="0.3">
      <c r="B14" s="99" t="s">
        <v>843</v>
      </c>
      <c r="C14" s="100">
        <v>7433</v>
      </c>
      <c r="D14" s="99" t="s">
        <v>836</v>
      </c>
      <c r="E14" s="99" t="s">
        <v>845</v>
      </c>
    </row>
    <row r="15" spans="1:13" x14ac:dyDescent="0.3">
      <c r="B15" s="97" t="s">
        <v>844</v>
      </c>
      <c r="C15" s="98">
        <v>3255</v>
      </c>
      <c r="D15" s="97" t="s">
        <v>839</v>
      </c>
      <c r="E15" s="97" t="s">
        <v>842</v>
      </c>
    </row>
    <row r="16" spans="1:13" x14ac:dyDescent="0.3">
      <c r="B16" s="103" t="s">
        <v>841</v>
      </c>
      <c r="C16" s="104">
        <v>14867</v>
      </c>
      <c r="D16" s="103" t="s">
        <v>839</v>
      </c>
      <c r="E16" s="103" t="s">
        <v>837</v>
      </c>
    </row>
    <row r="17" spans="2:5" x14ac:dyDescent="0.3">
      <c r="B17" s="95" t="s">
        <v>841</v>
      </c>
      <c r="C17" s="96">
        <v>19302</v>
      </c>
      <c r="D17" s="95" t="s">
        <v>836</v>
      </c>
      <c r="E17" s="95" t="s">
        <v>840</v>
      </c>
    </row>
    <row r="18" spans="2:5" x14ac:dyDescent="0.3">
      <c r="B18" s="101" t="s">
        <v>835</v>
      </c>
      <c r="C18" s="102">
        <v>9698</v>
      </c>
      <c r="D18" s="101" t="s">
        <v>839</v>
      </c>
      <c r="E18" s="101" t="s">
        <v>845</v>
      </c>
    </row>
  </sheetData>
  <mergeCells count="1">
    <mergeCell ref="B1:C1"/>
  </mergeCells>
  <hyperlinks>
    <hyperlink ref="A2" location="Home!A1" display="Home" xr:uid="{A34C35DA-5300-4D12-B75C-54314EA70627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A00D4-3A52-437F-8525-6DC9A1FD6BF5}">
  <dimension ref="A1:M19"/>
  <sheetViews>
    <sheetView zoomScale="130" zoomScaleNormal="130" workbookViewId="0">
      <pane ySplit="1" topLeftCell="A2" activePane="bottomLeft" state="frozen"/>
      <selection activeCell="A2" sqref="A2"/>
      <selection pane="bottomLeft" activeCell="G10" sqref="G10"/>
    </sheetView>
  </sheetViews>
  <sheetFormatPr defaultRowHeight="18.75" x14ac:dyDescent="0.3"/>
  <cols>
    <col min="2" max="2" width="13.8984375" bestFit="1" customWidth="1"/>
    <col min="3" max="3" width="10.59765625" bestFit="1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73</v>
      </c>
      <c r="B1" s="1" t="s">
        <v>79</v>
      </c>
      <c r="C1" s="1"/>
    </row>
    <row r="2" spans="1:13" x14ac:dyDescent="0.3">
      <c r="A2" s="37" t="s">
        <v>2</v>
      </c>
    </row>
    <row r="3" spans="1:13" x14ac:dyDescent="0.3">
      <c r="L3" s="38"/>
      <c r="M3" s="38"/>
    </row>
    <row r="4" spans="1:13" x14ac:dyDescent="0.3">
      <c r="B4" s="105" t="s">
        <v>79</v>
      </c>
    </row>
    <row r="5" spans="1:13" x14ac:dyDescent="0.3">
      <c r="B5" s="91" t="s">
        <v>319</v>
      </c>
      <c r="C5" s="91" t="s">
        <v>363</v>
      </c>
      <c r="D5" s="91" t="s">
        <v>833</v>
      </c>
      <c r="E5" s="91" t="s">
        <v>834</v>
      </c>
      <c r="F5" s="91" t="s">
        <v>846</v>
      </c>
    </row>
    <row r="6" spans="1:13" x14ac:dyDescent="0.3">
      <c r="B6" t="s">
        <v>835</v>
      </c>
      <c r="C6" s="44">
        <v>16753</v>
      </c>
      <c r="D6" t="s">
        <v>836</v>
      </c>
      <c r="E6" t="s">
        <v>837</v>
      </c>
      <c r="F6" t="s">
        <v>847</v>
      </c>
    </row>
    <row r="7" spans="1:13" x14ac:dyDescent="0.3">
      <c r="B7" t="s">
        <v>838</v>
      </c>
      <c r="C7" s="44">
        <v>14808</v>
      </c>
      <c r="D7" t="s">
        <v>839</v>
      </c>
      <c r="E7" t="s">
        <v>840</v>
      </c>
      <c r="F7" t="s">
        <v>848</v>
      </c>
    </row>
    <row r="8" spans="1:13" x14ac:dyDescent="0.3">
      <c r="B8" t="s">
        <v>841</v>
      </c>
      <c r="C8" s="44">
        <v>10644</v>
      </c>
      <c r="D8" t="s">
        <v>836</v>
      </c>
      <c r="E8" t="s">
        <v>842</v>
      </c>
      <c r="F8" t="s">
        <v>847</v>
      </c>
    </row>
    <row r="9" spans="1:13" x14ac:dyDescent="0.3">
      <c r="B9" t="s">
        <v>843</v>
      </c>
      <c r="C9" s="44">
        <v>1390</v>
      </c>
      <c r="D9" t="s">
        <v>839</v>
      </c>
      <c r="E9" t="s">
        <v>837</v>
      </c>
      <c r="F9" t="s">
        <v>849</v>
      </c>
    </row>
    <row r="10" spans="1:13" x14ac:dyDescent="0.3">
      <c r="B10" t="s">
        <v>844</v>
      </c>
      <c r="C10" s="44">
        <v>4865</v>
      </c>
      <c r="D10" t="s">
        <v>839</v>
      </c>
      <c r="E10" t="s">
        <v>840</v>
      </c>
      <c r="F10" t="s">
        <v>848</v>
      </c>
    </row>
    <row r="11" spans="1:13" x14ac:dyDescent="0.3">
      <c r="B11" t="s">
        <v>841</v>
      </c>
      <c r="C11" s="44">
        <v>12438</v>
      </c>
      <c r="D11" t="s">
        <v>836</v>
      </c>
      <c r="E11" t="s">
        <v>845</v>
      </c>
      <c r="F11" t="s">
        <v>849</v>
      </c>
    </row>
    <row r="12" spans="1:13" x14ac:dyDescent="0.3">
      <c r="B12" t="s">
        <v>838</v>
      </c>
      <c r="C12" s="44">
        <v>9339</v>
      </c>
      <c r="D12" t="s">
        <v>836</v>
      </c>
      <c r="E12" t="s">
        <v>842</v>
      </c>
      <c r="F12" t="s">
        <v>848</v>
      </c>
    </row>
    <row r="13" spans="1:13" x14ac:dyDescent="0.3">
      <c r="B13" t="s">
        <v>835</v>
      </c>
      <c r="C13" s="44">
        <v>18919</v>
      </c>
      <c r="D13" t="s">
        <v>839</v>
      </c>
      <c r="E13" t="s">
        <v>837</v>
      </c>
      <c r="F13" t="s">
        <v>848</v>
      </c>
    </row>
    <row r="14" spans="1:13" x14ac:dyDescent="0.3">
      <c r="B14" t="s">
        <v>843</v>
      </c>
      <c r="C14" s="44">
        <v>9213</v>
      </c>
      <c r="D14" t="s">
        <v>839</v>
      </c>
      <c r="E14" t="s">
        <v>840</v>
      </c>
      <c r="F14" t="s">
        <v>847</v>
      </c>
    </row>
    <row r="15" spans="1:13" x14ac:dyDescent="0.3">
      <c r="B15" t="s">
        <v>843</v>
      </c>
      <c r="C15" s="44">
        <v>7433</v>
      </c>
      <c r="D15" t="s">
        <v>836</v>
      </c>
      <c r="E15" t="s">
        <v>845</v>
      </c>
      <c r="F15" t="s">
        <v>849</v>
      </c>
    </row>
    <row r="16" spans="1:13" x14ac:dyDescent="0.3">
      <c r="B16" t="s">
        <v>844</v>
      </c>
      <c r="C16" s="44">
        <v>3255</v>
      </c>
      <c r="D16" t="s">
        <v>839</v>
      </c>
      <c r="E16" t="s">
        <v>842</v>
      </c>
      <c r="F16" t="s">
        <v>849</v>
      </c>
    </row>
    <row r="17" spans="2:6" x14ac:dyDescent="0.3">
      <c r="B17" t="s">
        <v>841</v>
      </c>
      <c r="C17" s="44">
        <v>14867</v>
      </c>
      <c r="D17" t="s">
        <v>839</v>
      </c>
      <c r="E17" t="s">
        <v>837</v>
      </c>
      <c r="F17" t="s">
        <v>847</v>
      </c>
    </row>
    <row r="18" spans="2:6" x14ac:dyDescent="0.3">
      <c r="B18" t="s">
        <v>841</v>
      </c>
      <c r="C18" s="44">
        <v>19302</v>
      </c>
      <c r="D18" t="s">
        <v>836</v>
      </c>
      <c r="E18" t="s">
        <v>840</v>
      </c>
      <c r="F18" t="s">
        <v>848</v>
      </c>
    </row>
    <row r="19" spans="2:6" x14ac:dyDescent="0.3">
      <c r="B19" t="s">
        <v>835</v>
      </c>
      <c r="C19" s="44">
        <v>9698</v>
      </c>
      <c r="D19" t="s">
        <v>839</v>
      </c>
      <c r="E19" t="s">
        <v>845</v>
      </c>
      <c r="F19" t="s">
        <v>849</v>
      </c>
    </row>
  </sheetData>
  <hyperlinks>
    <hyperlink ref="A2" location="Home!A1" display="Home" xr:uid="{387F7491-94EC-4F2B-AD15-54488FC1B24A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4BB4-3A56-4E96-BD5E-FE96E073923A}">
  <dimension ref="A1:M13"/>
  <sheetViews>
    <sheetView zoomScale="130" zoomScaleNormal="130" workbookViewId="0">
      <pane ySplit="1" topLeftCell="A2" activePane="bottomLeft" state="frozen"/>
      <selection activeCell="A2" sqref="A2"/>
      <selection pane="bottomLeft" activeCell="A3" sqref="A3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22.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74</v>
      </c>
      <c r="B1" s="1" t="s">
        <v>80</v>
      </c>
      <c r="C1" s="1"/>
    </row>
    <row r="2" spans="1:13" x14ac:dyDescent="0.3">
      <c r="A2" s="37" t="s">
        <v>2</v>
      </c>
    </row>
    <row r="3" spans="1:13" x14ac:dyDescent="0.3">
      <c r="L3" s="38"/>
      <c r="M3" s="38"/>
    </row>
    <row r="4" spans="1:13" x14ac:dyDescent="0.3">
      <c r="B4" s="139" t="s">
        <v>141</v>
      </c>
      <c r="C4" s="140" t="s">
        <v>850</v>
      </c>
      <c r="D4" s="140" t="s">
        <v>363</v>
      </c>
      <c r="G4" t="s">
        <v>851</v>
      </c>
    </row>
    <row r="5" spans="1:13" x14ac:dyDescent="0.3">
      <c r="B5" s="30">
        <v>43031</v>
      </c>
      <c r="C5" t="s">
        <v>852</v>
      </c>
      <c r="D5">
        <v>100</v>
      </c>
      <c r="G5" t="s">
        <v>853</v>
      </c>
    </row>
    <row r="6" spans="1:13" x14ac:dyDescent="0.3">
      <c r="B6" s="30">
        <v>43031</v>
      </c>
      <c r="C6" t="s">
        <v>854</v>
      </c>
      <c r="D6">
        <v>200</v>
      </c>
      <c r="G6" t="s">
        <v>855</v>
      </c>
    </row>
    <row r="7" spans="1:13" x14ac:dyDescent="0.3">
      <c r="B7" s="30">
        <v>43032</v>
      </c>
      <c r="C7" t="s">
        <v>856</v>
      </c>
      <c r="D7">
        <v>100</v>
      </c>
      <c r="G7" t="s">
        <v>857</v>
      </c>
    </row>
    <row r="8" spans="1:13" x14ac:dyDescent="0.3">
      <c r="B8" s="30">
        <v>43032</v>
      </c>
      <c r="C8" t="s">
        <v>852</v>
      </c>
      <c r="D8">
        <v>300</v>
      </c>
      <c r="G8" t="s">
        <v>858</v>
      </c>
    </row>
    <row r="9" spans="1:13" x14ac:dyDescent="0.3">
      <c r="B9" s="30">
        <v>43032</v>
      </c>
      <c r="C9" t="s">
        <v>852</v>
      </c>
      <c r="D9">
        <v>700</v>
      </c>
      <c r="G9" t="s">
        <v>859</v>
      </c>
    </row>
    <row r="10" spans="1:13" x14ac:dyDescent="0.3">
      <c r="B10" s="30">
        <v>43031</v>
      </c>
      <c r="C10" t="s">
        <v>856</v>
      </c>
      <c r="D10">
        <v>100</v>
      </c>
      <c r="G10" t="s">
        <v>860</v>
      </c>
    </row>
    <row r="11" spans="1:13" x14ac:dyDescent="0.3">
      <c r="B11" s="30">
        <v>43032</v>
      </c>
      <c r="C11" t="s">
        <v>854</v>
      </c>
      <c r="D11">
        <v>200</v>
      </c>
    </row>
    <row r="12" spans="1:13" x14ac:dyDescent="0.3">
      <c r="B12" s="30">
        <v>43032</v>
      </c>
      <c r="C12" t="s">
        <v>854</v>
      </c>
      <c r="D12">
        <v>500</v>
      </c>
    </row>
    <row r="13" spans="1:13" x14ac:dyDescent="0.3">
      <c r="B13" s="30">
        <v>43031</v>
      </c>
      <c r="C13" t="s">
        <v>854</v>
      </c>
      <c r="D13">
        <v>200</v>
      </c>
    </row>
  </sheetData>
  <hyperlinks>
    <hyperlink ref="A2" location="Home!A1" display="Home" xr:uid="{C5EDD276-392E-4128-A1DA-602A641DB6E9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7023-CE52-4A65-81B5-7F5352D27337}">
  <dimension ref="A3:B11"/>
  <sheetViews>
    <sheetView topLeftCell="A5" workbookViewId="0">
      <selection activeCell="L12" sqref="L12"/>
    </sheetView>
  </sheetViews>
  <sheetFormatPr defaultRowHeight="18.75" x14ac:dyDescent="0.3"/>
  <cols>
    <col min="1" max="1" width="12.09765625" bestFit="1" customWidth="1"/>
    <col min="2" max="2" width="12.296875" bestFit="1" customWidth="1"/>
  </cols>
  <sheetData>
    <row r="3" spans="1:2" x14ac:dyDescent="0.3">
      <c r="A3" s="133" t="s">
        <v>861</v>
      </c>
      <c r="B3" t="s">
        <v>862</v>
      </c>
    </row>
    <row r="4" spans="1:2" x14ac:dyDescent="0.3">
      <c r="A4" s="13" t="s">
        <v>863</v>
      </c>
      <c r="B4" s="134">
        <v>110.99999999999999</v>
      </c>
    </row>
    <row r="5" spans="1:2" x14ac:dyDescent="0.3">
      <c r="A5" s="13" t="s">
        <v>371</v>
      </c>
      <c r="B5" s="134">
        <v>397.12000000000006</v>
      </c>
    </row>
    <row r="6" spans="1:2" x14ac:dyDescent="0.3">
      <c r="A6" s="13" t="s">
        <v>864</v>
      </c>
      <c r="B6" s="134">
        <v>341.29999999999995</v>
      </c>
    </row>
    <row r="7" spans="1:2" x14ac:dyDescent="0.3">
      <c r="A7" s="13" t="s">
        <v>670</v>
      </c>
      <c r="B7" s="134">
        <v>167.76000000000002</v>
      </c>
    </row>
    <row r="8" spans="1:2" x14ac:dyDescent="0.3">
      <c r="A8" s="13" t="s">
        <v>667</v>
      </c>
      <c r="B8" s="134">
        <v>379.79999999999995</v>
      </c>
    </row>
    <row r="9" spans="1:2" x14ac:dyDescent="0.3">
      <c r="A9" s="13" t="s">
        <v>865</v>
      </c>
      <c r="B9" s="134">
        <v>369.7</v>
      </c>
    </row>
    <row r="10" spans="1:2" x14ac:dyDescent="0.3">
      <c r="A10" s="13" t="s">
        <v>363</v>
      </c>
      <c r="B10" s="134">
        <v>638.49000000000012</v>
      </c>
    </row>
    <row r="11" spans="1:2" x14ac:dyDescent="0.3">
      <c r="A11" s="13" t="s">
        <v>866</v>
      </c>
      <c r="B11" s="134">
        <v>2405.17</v>
      </c>
    </row>
  </sheetData>
  <pageMargins left="0.7" right="0.7" top="0.75" bottom="0.75" header="0.3" footer="0.3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49023-B8A5-4426-AB75-BCC7A24102D8}">
  <dimension ref="A3:B11"/>
  <sheetViews>
    <sheetView workbookViewId="0">
      <selection activeCell="B5" sqref="B5"/>
    </sheetView>
  </sheetViews>
  <sheetFormatPr defaultRowHeight="18.75" x14ac:dyDescent="0.3"/>
  <cols>
    <col min="1" max="1" width="12.69921875" bestFit="1" customWidth="1"/>
    <col min="2" max="2" width="12.5" bestFit="1" customWidth="1"/>
  </cols>
  <sheetData>
    <row r="3" spans="1:2" x14ac:dyDescent="0.3">
      <c r="A3" s="133" t="s">
        <v>861</v>
      </c>
      <c r="B3" t="s">
        <v>867</v>
      </c>
    </row>
    <row r="4" spans="1:2" x14ac:dyDescent="0.3">
      <c r="A4" s="13" t="s">
        <v>863</v>
      </c>
      <c r="B4" s="134">
        <v>2204.9299999999998</v>
      </c>
    </row>
    <row r="5" spans="1:2" x14ac:dyDescent="0.3">
      <c r="A5" s="13" t="s">
        <v>371</v>
      </c>
      <c r="B5" s="134">
        <v>14368.039000000001</v>
      </c>
    </row>
    <row r="6" spans="1:2" x14ac:dyDescent="0.3">
      <c r="A6" s="13" t="s">
        <v>864</v>
      </c>
      <c r="B6" s="134">
        <v>8778.9009999999998</v>
      </c>
    </row>
    <row r="7" spans="1:2" x14ac:dyDescent="0.3">
      <c r="A7" s="13" t="s">
        <v>670</v>
      </c>
      <c r="B7" s="134">
        <v>6006.1912000000011</v>
      </c>
    </row>
    <row r="8" spans="1:2" x14ac:dyDescent="0.3">
      <c r="A8" s="13" t="s">
        <v>667</v>
      </c>
      <c r="B8" s="134">
        <v>11048.359999999999</v>
      </c>
    </row>
    <row r="9" spans="1:2" x14ac:dyDescent="0.3">
      <c r="A9" s="13" t="s">
        <v>865</v>
      </c>
      <c r="B9" s="134">
        <v>12055.714</v>
      </c>
    </row>
    <row r="10" spans="1:2" x14ac:dyDescent="0.3">
      <c r="A10" s="13" t="s">
        <v>363</v>
      </c>
      <c r="B10" s="134">
        <v>27282.156799999997</v>
      </c>
    </row>
    <row r="11" spans="1:2" x14ac:dyDescent="0.3">
      <c r="A11" s="13" t="s">
        <v>866</v>
      </c>
      <c r="B11" s="134">
        <v>81744.292000000001</v>
      </c>
    </row>
  </sheetData>
  <pageMargins left="0.7" right="0.7" top="0.75" bottom="0.75" header="0.3" footer="0.3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CE7A-0631-48EF-B0C6-F6FCF7934D17}">
  <dimension ref="A1:M49"/>
  <sheetViews>
    <sheetView topLeftCell="B1" zoomScaleNormal="130" workbookViewId="0">
      <pane ySplit="1" topLeftCell="A10" activePane="bottomLeft" state="frozen"/>
      <selection activeCell="I16" sqref="I16"/>
      <selection pane="bottomLeft" activeCell="B20" sqref="B20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6.796875" bestFit="1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75</v>
      </c>
      <c r="B1" s="150" t="s">
        <v>81</v>
      </c>
      <c r="C1" s="150"/>
    </row>
    <row r="2" spans="1:13" x14ac:dyDescent="0.3">
      <c r="A2" s="37" t="s">
        <v>2</v>
      </c>
    </row>
    <row r="3" spans="1:13" x14ac:dyDescent="0.3">
      <c r="L3" s="38"/>
      <c r="M3" s="38"/>
    </row>
    <row r="5" spans="1:13" x14ac:dyDescent="0.3">
      <c r="A5" s="37" t="s">
        <v>2</v>
      </c>
    </row>
    <row r="7" spans="1:13" x14ac:dyDescent="0.3">
      <c r="C7" s="125" t="s">
        <v>319</v>
      </c>
      <c r="D7" s="125" t="s">
        <v>317</v>
      </c>
      <c r="E7" s="125" t="s">
        <v>664</v>
      </c>
      <c r="F7" s="125" t="s">
        <v>868</v>
      </c>
      <c r="G7" s="125" t="s">
        <v>869</v>
      </c>
      <c r="H7" s="125" t="s">
        <v>870</v>
      </c>
      <c r="I7" s="125" t="s">
        <v>871</v>
      </c>
      <c r="J7" s="125" t="s">
        <v>872</v>
      </c>
      <c r="K7" s="125" t="s">
        <v>873</v>
      </c>
      <c r="L7" s="125" t="s">
        <v>874</v>
      </c>
    </row>
    <row r="8" spans="1:13" x14ac:dyDescent="0.3">
      <c r="C8" t="s">
        <v>875</v>
      </c>
      <c r="D8" t="s">
        <v>876</v>
      </c>
      <c r="E8" t="s">
        <v>865</v>
      </c>
      <c r="F8" t="s">
        <v>877</v>
      </c>
      <c r="G8" s="126">
        <v>80.099999999999994</v>
      </c>
      <c r="H8" s="126">
        <v>44.62</v>
      </c>
      <c r="I8" s="126">
        <f t="shared" ref="I8:I49" si="0">H8*G8</f>
        <v>3574.0619999999994</v>
      </c>
      <c r="J8" t="s">
        <v>878</v>
      </c>
      <c r="K8" t="s">
        <v>879</v>
      </c>
      <c r="L8" t="s">
        <v>880</v>
      </c>
    </row>
    <row r="9" spans="1:13" x14ac:dyDescent="0.3">
      <c r="C9" t="s">
        <v>881</v>
      </c>
      <c r="D9" t="s">
        <v>882</v>
      </c>
      <c r="E9" t="s">
        <v>667</v>
      </c>
      <c r="F9" t="s">
        <v>883</v>
      </c>
      <c r="G9" s="126">
        <v>82.4</v>
      </c>
      <c r="H9" s="126">
        <v>24.54</v>
      </c>
      <c r="I9" s="126">
        <f t="shared" si="0"/>
        <v>2022.096</v>
      </c>
      <c r="J9" t="s">
        <v>878</v>
      </c>
      <c r="K9" t="s">
        <v>879</v>
      </c>
      <c r="L9" t="s">
        <v>880</v>
      </c>
    </row>
    <row r="10" spans="1:13" x14ac:dyDescent="0.3">
      <c r="C10" t="s">
        <v>884</v>
      </c>
      <c r="D10" t="s">
        <v>885</v>
      </c>
      <c r="E10" t="s">
        <v>363</v>
      </c>
      <c r="F10" t="s">
        <v>877</v>
      </c>
      <c r="G10" s="126">
        <v>39.9</v>
      </c>
      <c r="H10" s="126">
        <v>41.66</v>
      </c>
      <c r="I10" s="126">
        <f t="shared" si="0"/>
        <v>1662.2339999999997</v>
      </c>
      <c r="J10" t="s">
        <v>886</v>
      </c>
      <c r="K10" t="s">
        <v>887</v>
      </c>
      <c r="L10" t="s">
        <v>880</v>
      </c>
    </row>
    <row r="11" spans="1:13" x14ac:dyDescent="0.3">
      <c r="C11" t="s">
        <v>888</v>
      </c>
      <c r="D11" t="s">
        <v>889</v>
      </c>
      <c r="E11" t="s">
        <v>363</v>
      </c>
      <c r="F11" t="s">
        <v>890</v>
      </c>
      <c r="G11" s="126">
        <v>32.4</v>
      </c>
      <c r="H11" s="126">
        <v>14.37</v>
      </c>
      <c r="I11" s="126">
        <f t="shared" si="0"/>
        <v>465.58799999999997</v>
      </c>
      <c r="J11" t="s">
        <v>878</v>
      </c>
      <c r="K11" t="s">
        <v>887</v>
      </c>
      <c r="L11" t="s">
        <v>891</v>
      </c>
    </row>
    <row r="12" spans="1:13" x14ac:dyDescent="0.3">
      <c r="C12" t="s">
        <v>892</v>
      </c>
      <c r="D12" t="s">
        <v>893</v>
      </c>
      <c r="E12" t="s">
        <v>864</v>
      </c>
      <c r="F12" t="s">
        <v>894</v>
      </c>
      <c r="G12" s="126">
        <v>84.6</v>
      </c>
      <c r="H12" s="126">
        <v>29.76</v>
      </c>
      <c r="I12" s="126">
        <f t="shared" si="0"/>
        <v>2517.6959999999999</v>
      </c>
      <c r="J12" t="s">
        <v>878</v>
      </c>
      <c r="K12" t="s">
        <v>887</v>
      </c>
      <c r="L12" t="s">
        <v>891</v>
      </c>
    </row>
    <row r="13" spans="1:13" x14ac:dyDescent="0.3">
      <c r="C13" t="s">
        <v>892</v>
      </c>
      <c r="D13" t="s">
        <v>893</v>
      </c>
      <c r="E13" t="s">
        <v>864</v>
      </c>
      <c r="F13" t="s">
        <v>894</v>
      </c>
      <c r="G13" s="126">
        <v>84.6</v>
      </c>
      <c r="H13" s="126">
        <v>29.76</v>
      </c>
      <c r="I13" s="126">
        <f t="shared" si="0"/>
        <v>2517.6959999999999</v>
      </c>
      <c r="J13" t="s">
        <v>878</v>
      </c>
      <c r="K13" t="s">
        <v>887</v>
      </c>
      <c r="L13" t="s">
        <v>891</v>
      </c>
    </row>
    <row r="14" spans="1:13" x14ac:dyDescent="0.3">
      <c r="C14" t="s">
        <v>895</v>
      </c>
      <c r="D14" t="s">
        <v>896</v>
      </c>
      <c r="E14" t="s">
        <v>670</v>
      </c>
      <c r="F14" t="s">
        <v>883</v>
      </c>
      <c r="G14" s="126">
        <v>16.2</v>
      </c>
      <c r="H14" s="126">
        <v>33.04</v>
      </c>
      <c r="I14" s="126">
        <f t="shared" si="0"/>
        <v>535.24799999999993</v>
      </c>
      <c r="J14" t="s">
        <v>878</v>
      </c>
      <c r="K14" t="s">
        <v>879</v>
      </c>
      <c r="L14" t="s">
        <v>891</v>
      </c>
    </row>
    <row r="15" spans="1:13" x14ac:dyDescent="0.3">
      <c r="C15" t="s">
        <v>897</v>
      </c>
      <c r="D15" t="s">
        <v>898</v>
      </c>
      <c r="E15" t="s">
        <v>863</v>
      </c>
      <c r="F15" t="s">
        <v>894</v>
      </c>
      <c r="G15" s="126">
        <v>40</v>
      </c>
      <c r="H15" s="126">
        <v>17.88</v>
      </c>
      <c r="I15" s="126">
        <f t="shared" si="0"/>
        <v>715.19999999999993</v>
      </c>
      <c r="J15" t="s">
        <v>886</v>
      </c>
      <c r="K15" t="s">
        <v>887</v>
      </c>
      <c r="L15" t="s">
        <v>880</v>
      </c>
    </row>
    <row r="16" spans="1:13" x14ac:dyDescent="0.3">
      <c r="C16" t="s">
        <v>899</v>
      </c>
      <c r="D16" t="s">
        <v>898</v>
      </c>
      <c r="E16" t="s">
        <v>371</v>
      </c>
      <c r="F16" t="s">
        <v>877</v>
      </c>
      <c r="G16" s="126">
        <v>33.200000000000003</v>
      </c>
      <c r="H16" s="126">
        <v>24.05</v>
      </c>
      <c r="I16" s="126">
        <f t="shared" si="0"/>
        <v>798.46</v>
      </c>
      <c r="J16" t="s">
        <v>878</v>
      </c>
      <c r="K16" t="s">
        <v>879</v>
      </c>
      <c r="L16" t="s">
        <v>880</v>
      </c>
    </row>
    <row r="17" spans="3:12" x14ac:dyDescent="0.3">
      <c r="C17" t="s">
        <v>900</v>
      </c>
      <c r="D17" t="s">
        <v>901</v>
      </c>
      <c r="E17" t="s">
        <v>667</v>
      </c>
      <c r="F17" t="s">
        <v>890</v>
      </c>
      <c r="G17" s="126">
        <v>87.6</v>
      </c>
      <c r="H17" s="126">
        <v>23</v>
      </c>
      <c r="I17" s="126">
        <f t="shared" si="0"/>
        <v>2014.8</v>
      </c>
      <c r="J17" t="s">
        <v>886</v>
      </c>
      <c r="K17" t="s">
        <v>879</v>
      </c>
      <c r="L17" t="s">
        <v>880</v>
      </c>
    </row>
    <row r="18" spans="3:12" x14ac:dyDescent="0.3">
      <c r="C18" t="s">
        <v>902</v>
      </c>
      <c r="D18" t="s">
        <v>903</v>
      </c>
      <c r="E18" t="s">
        <v>363</v>
      </c>
      <c r="F18" t="s">
        <v>894</v>
      </c>
      <c r="G18" s="126">
        <v>95</v>
      </c>
      <c r="H18" s="126">
        <v>48.63</v>
      </c>
      <c r="I18" s="126">
        <f t="shared" si="0"/>
        <v>4619.8500000000004</v>
      </c>
      <c r="J18" t="s">
        <v>878</v>
      </c>
      <c r="K18" t="s">
        <v>879</v>
      </c>
      <c r="L18" t="s">
        <v>891</v>
      </c>
    </row>
    <row r="19" spans="3:12" x14ac:dyDescent="0.3">
      <c r="C19" t="s">
        <v>902</v>
      </c>
      <c r="D19" t="s">
        <v>903</v>
      </c>
      <c r="E19" t="s">
        <v>363</v>
      </c>
      <c r="F19" t="s">
        <v>894</v>
      </c>
      <c r="G19" s="126">
        <v>95</v>
      </c>
      <c r="H19" s="126">
        <v>48.63</v>
      </c>
      <c r="I19" s="126">
        <f t="shared" si="0"/>
        <v>4619.8500000000004</v>
      </c>
      <c r="J19" t="s">
        <v>878</v>
      </c>
      <c r="K19" t="s">
        <v>879</v>
      </c>
      <c r="L19" t="s">
        <v>891</v>
      </c>
    </row>
    <row r="20" spans="3:12" x14ac:dyDescent="0.3">
      <c r="C20" t="s">
        <v>904</v>
      </c>
      <c r="D20" t="s">
        <v>905</v>
      </c>
      <c r="E20" t="s">
        <v>363</v>
      </c>
      <c r="F20" t="s">
        <v>906</v>
      </c>
      <c r="G20" s="126">
        <v>78.400000000000006</v>
      </c>
      <c r="H20" s="126">
        <v>44.98</v>
      </c>
      <c r="I20" s="126">
        <f t="shared" si="0"/>
        <v>3526.4319999999998</v>
      </c>
      <c r="J20" t="s">
        <v>886</v>
      </c>
      <c r="K20" t="s">
        <v>879</v>
      </c>
      <c r="L20" t="s">
        <v>891</v>
      </c>
    </row>
    <row r="21" spans="3:12" x14ac:dyDescent="0.3">
      <c r="C21" t="s">
        <v>907</v>
      </c>
      <c r="D21" t="s">
        <v>908</v>
      </c>
      <c r="E21" t="s">
        <v>363</v>
      </c>
      <c r="F21" t="s">
        <v>909</v>
      </c>
      <c r="G21" s="126">
        <v>10.199999999999999</v>
      </c>
      <c r="H21" s="126">
        <v>23.74</v>
      </c>
      <c r="I21" s="126">
        <f t="shared" si="0"/>
        <v>242.14799999999997</v>
      </c>
      <c r="J21" t="s">
        <v>878</v>
      </c>
      <c r="K21" t="s">
        <v>887</v>
      </c>
      <c r="L21" t="s">
        <v>880</v>
      </c>
    </row>
    <row r="22" spans="3:12" x14ac:dyDescent="0.3">
      <c r="C22" t="s">
        <v>910</v>
      </c>
      <c r="D22" t="s">
        <v>911</v>
      </c>
      <c r="E22" t="s">
        <v>864</v>
      </c>
      <c r="F22" t="s">
        <v>894</v>
      </c>
      <c r="G22" s="126">
        <v>13.2</v>
      </c>
      <c r="H22" s="126">
        <v>12.06</v>
      </c>
      <c r="I22" s="126">
        <f t="shared" si="0"/>
        <v>159.19200000000001</v>
      </c>
      <c r="J22" t="s">
        <v>878</v>
      </c>
      <c r="K22" t="s">
        <v>887</v>
      </c>
      <c r="L22" t="s">
        <v>891</v>
      </c>
    </row>
    <row r="23" spans="3:12" x14ac:dyDescent="0.3">
      <c r="C23" t="s">
        <v>912</v>
      </c>
      <c r="D23" t="s">
        <v>911</v>
      </c>
      <c r="E23" t="s">
        <v>667</v>
      </c>
      <c r="F23" t="s">
        <v>877</v>
      </c>
      <c r="G23" s="126">
        <v>70.599999999999994</v>
      </c>
      <c r="H23" s="126">
        <v>20.84</v>
      </c>
      <c r="I23" s="126">
        <f t="shared" si="0"/>
        <v>1471.3039999999999</v>
      </c>
      <c r="J23" t="s">
        <v>878</v>
      </c>
      <c r="K23" t="s">
        <v>887</v>
      </c>
      <c r="L23" t="s">
        <v>880</v>
      </c>
    </row>
    <row r="24" spans="3:12" x14ac:dyDescent="0.3">
      <c r="C24" t="s">
        <v>913</v>
      </c>
      <c r="D24" t="s">
        <v>914</v>
      </c>
      <c r="E24" t="s">
        <v>863</v>
      </c>
      <c r="F24" t="s">
        <v>883</v>
      </c>
      <c r="G24" s="126">
        <v>26.6</v>
      </c>
      <c r="H24" s="126">
        <v>15.99</v>
      </c>
      <c r="I24" s="126">
        <f t="shared" si="0"/>
        <v>425.334</v>
      </c>
      <c r="J24" t="s">
        <v>886</v>
      </c>
      <c r="K24" t="s">
        <v>887</v>
      </c>
      <c r="L24" t="s">
        <v>891</v>
      </c>
    </row>
    <row r="25" spans="3:12" x14ac:dyDescent="0.3">
      <c r="C25" t="s">
        <v>915</v>
      </c>
      <c r="D25" t="s">
        <v>498</v>
      </c>
      <c r="E25" t="s">
        <v>864</v>
      </c>
      <c r="F25" t="s">
        <v>909</v>
      </c>
      <c r="G25" s="126">
        <v>80.400000000000006</v>
      </c>
      <c r="H25" s="126">
        <v>16.53</v>
      </c>
      <c r="I25" s="126">
        <f t="shared" si="0"/>
        <v>1329.0120000000002</v>
      </c>
      <c r="J25" t="s">
        <v>886</v>
      </c>
      <c r="K25" t="s">
        <v>879</v>
      </c>
      <c r="L25" t="s">
        <v>880</v>
      </c>
    </row>
    <row r="26" spans="3:12" x14ac:dyDescent="0.3">
      <c r="C26" t="s">
        <v>916</v>
      </c>
      <c r="D26" t="s">
        <v>917</v>
      </c>
      <c r="E26" t="s">
        <v>667</v>
      </c>
      <c r="F26" t="s">
        <v>906</v>
      </c>
      <c r="G26" s="126">
        <v>46.4</v>
      </c>
      <c r="H26" s="126">
        <v>40.799999999999997</v>
      </c>
      <c r="I26" s="126">
        <f t="shared" si="0"/>
        <v>1893.12</v>
      </c>
      <c r="J26" t="s">
        <v>886</v>
      </c>
      <c r="K26" t="s">
        <v>887</v>
      </c>
      <c r="L26" t="s">
        <v>891</v>
      </c>
    </row>
    <row r="27" spans="3:12" x14ac:dyDescent="0.3">
      <c r="C27" t="s">
        <v>916</v>
      </c>
      <c r="D27" t="s">
        <v>917</v>
      </c>
      <c r="E27" t="s">
        <v>667</v>
      </c>
      <c r="F27" t="s">
        <v>906</v>
      </c>
      <c r="G27" s="126">
        <v>46.4</v>
      </c>
      <c r="H27" s="126">
        <v>39.799999999999997</v>
      </c>
      <c r="I27" s="126">
        <f t="shared" si="0"/>
        <v>1846.7199999999998</v>
      </c>
      <c r="J27" t="s">
        <v>886</v>
      </c>
      <c r="K27" t="s">
        <v>887</v>
      </c>
      <c r="L27" t="s">
        <v>891</v>
      </c>
    </row>
    <row r="28" spans="3:12" x14ac:dyDescent="0.3">
      <c r="C28" t="s">
        <v>916</v>
      </c>
      <c r="D28" t="s">
        <v>917</v>
      </c>
      <c r="E28" t="s">
        <v>667</v>
      </c>
      <c r="F28" t="s">
        <v>906</v>
      </c>
      <c r="G28" s="126">
        <v>46.4</v>
      </c>
      <c r="H28" s="126">
        <v>38.799999999999997</v>
      </c>
      <c r="I28" s="126">
        <f t="shared" si="0"/>
        <v>1800.3199999999997</v>
      </c>
      <c r="J28" t="s">
        <v>886</v>
      </c>
      <c r="K28" t="s">
        <v>887</v>
      </c>
      <c r="L28" t="s">
        <v>891</v>
      </c>
    </row>
    <row r="29" spans="3:12" x14ac:dyDescent="0.3">
      <c r="C29" t="s">
        <v>918</v>
      </c>
      <c r="D29" t="s">
        <v>919</v>
      </c>
      <c r="E29" t="s">
        <v>864</v>
      </c>
      <c r="F29" t="s">
        <v>894</v>
      </c>
      <c r="G29" s="126">
        <v>78.5</v>
      </c>
      <c r="H29" s="126">
        <v>28.73</v>
      </c>
      <c r="I29" s="126">
        <f t="shared" si="0"/>
        <v>2255.3049999999998</v>
      </c>
      <c r="J29" t="s">
        <v>878</v>
      </c>
      <c r="K29" t="s">
        <v>887</v>
      </c>
      <c r="L29" t="s">
        <v>880</v>
      </c>
    </row>
    <row r="30" spans="3:12" x14ac:dyDescent="0.3">
      <c r="C30" t="s">
        <v>920</v>
      </c>
      <c r="D30" t="s">
        <v>921</v>
      </c>
      <c r="E30" t="s">
        <v>865</v>
      </c>
      <c r="F30" t="s">
        <v>906</v>
      </c>
      <c r="G30" s="126">
        <v>59.1</v>
      </c>
      <c r="H30" s="126">
        <v>34.83</v>
      </c>
      <c r="I30" s="126">
        <f t="shared" si="0"/>
        <v>2058.453</v>
      </c>
      <c r="J30" t="s">
        <v>886</v>
      </c>
      <c r="K30" t="s">
        <v>879</v>
      </c>
      <c r="L30" t="s">
        <v>891</v>
      </c>
    </row>
    <row r="31" spans="3:12" x14ac:dyDescent="0.3">
      <c r="C31" t="s">
        <v>922</v>
      </c>
      <c r="D31" t="s">
        <v>923</v>
      </c>
      <c r="E31" t="s">
        <v>865</v>
      </c>
      <c r="F31" t="s">
        <v>909</v>
      </c>
      <c r="G31" s="126">
        <v>22.5</v>
      </c>
      <c r="H31" s="126">
        <v>11.51</v>
      </c>
      <c r="I31" s="126">
        <f t="shared" si="0"/>
        <v>258.97500000000002</v>
      </c>
      <c r="J31" t="s">
        <v>878</v>
      </c>
      <c r="K31" t="s">
        <v>887</v>
      </c>
      <c r="L31" t="s">
        <v>891</v>
      </c>
    </row>
    <row r="32" spans="3:12" x14ac:dyDescent="0.3">
      <c r="C32" t="s">
        <v>924</v>
      </c>
      <c r="D32" t="s">
        <v>925</v>
      </c>
      <c r="E32" t="s">
        <v>863</v>
      </c>
      <c r="F32" t="s">
        <v>890</v>
      </c>
      <c r="G32" s="126">
        <v>15.1</v>
      </c>
      <c r="H32" s="126">
        <v>45.09</v>
      </c>
      <c r="I32" s="126">
        <f t="shared" si="0"/>
        <v>680.85900000000004</v>
      </c>
      <c r="J32" t="s">
        <v>878</v>
      </c>
      <c r="K32" t="s">
        <v>879</v>
      </c>
      <c r="L32" t="s">
        <v>891</v>
      </c>
    </row>
    <row r="33" spans="3:12" x14ac:dyDescent="0.3">
      <c r="C33" t="s">
        <v>926</v>
      </c>
      <c r="D33" t="s">
        <v>927</v>
      </c>
      <c r="E33" t="s">
        <v>670</v>
      </c>
      <c r="F33" t="s">
        <v>928</v>
      </c>
      <c r="G33" s="126">
        <v>52.36</v>
      </c>
      <c r="H33" s="126">
        <v>64.37</v>
      </c>
      <c r="I33" s="126">
        <f t="shared" si="0"/>
        <v>3370.4132000000004</v>
      </c>
      <c r="J33" t="s">
        <v>878</v>
      </c>
      <c r="K33" t="s">
        <v>887</v>
      </c>
      <c r="L33" t="s">
        <v>880</v>
      </c>
    </row>
    <row r="34" spans="3:12" x14ac:dyDescent="0.3">
      <c r="C34" t="s">
        <v>929</v>
      </c>
      <c r="D34" t="s">
        <v>930</v>
      </c>
      <c r="E34" t="s">
        <v>865</v>
      </c>
      <c r="F34" t="s">
        <v>890</v>
      </c>
      <c r="G34" s="126">
        <v>97.2</v>
      </c>
      <c r="H34" s="126">
        <v>30.3</v>
      </c>
      <c r="I34" s="126">
        <f t="shared" si="0"/>
        <v>2945.1600000000003</v>
      </c>
      <c r="J34" t="s">
        <v>878</v>
      </c>
      <c r="K34" t="s">
        <v>879</v>
      </c>
      <c r="L34" t="s">
        <v>891</v>
      </c>
    </row>
    <row r="35" spans="3:12" x14ac:dyDescent="0.3">
      <c r="C35" t="s">
        <v>929</v>
      </c>
      <c r="D35" t="s">
        <v>930</v>
      </c>
      <c r="E35" t="s">
        <v>865</v>
      </c>
      <c r="F35" t="s">
        <v>890</v>
      </c>
      <c r="G35" s="126">
        <v>97.2</v>
      </c>
      <c r="H35" s="126">
        <v>30.3</v>
      </c>
      <c r="I35" s="126">
        <f t="shared" si="0"/>
        <v>2945.1600000000003</v>
      </c>
      <c r="J35" t="s">
        <v>878</v>
      </c>
      <c r="K35" t="s">
        <v>879</v>
      </c>
      <c r="L35" t="s">
        <v>891</v>
      </c>
    </row>
    <row r="36" spans="3:12" x14ac:dyDescent="0.3">
      <c r="C36" t="s">
        <v>931</v>
      </c>
      <c r="D36" t="s">
        <v>932</v>
      </c>
      <c r="E36" t="s">
        <v>371</v>
      </c>
      <c r="F36" t="s">
        <v>894</v>
      </c>
      <c r="G36" s="126">
        <v>59.6</v>
      </c>
      <c r="H36" s="126">
        <v>39.97</v>
      </c>
      <c r="I36" s="126">
        <f t="shared" si="0"/>
        <v>2382.212</v>
      </c>
      <c r="J36" t="s">
        <v>878</v>
      </c>
      <c r="K36" t="s">
        <v>887</v>
      </c>
      <c r="L36" t="s">
        <v>880</v>
      </c>
    </row>
    <row r="37" spans="3:12" x14ac:dyDescent="0.3">
      <c r="C37" t="s">
        <v>933</v>
      </c>
      <c r="D37" t="s">
        <v>934</v>
      </c>
      <c r="E37" t="s">
        <v>363</v>
      </c>
      <c r="F37" t="s">
        <v>928</v>
      </c>
      <c r="G37" s="126">
        <v>64.290000000000006</v>
      </c>
      <c r="H37" s="126">
        <v>75.12</v>
      </c>
      <c r="I37" s="126">
        <f t="shared" si="0"/>
        <v>4829.4648000000007</v>
      </c>
      <c r="J37" t="s">
        <v>878</v>
      </c>
      <c r="K37" t="s">
        <v>879</v>
      </c>
      <c r="L37" t="s">
        <v>880</v>
      </c>
    </row>
    <row r="38" spans="3:12" x14ac:dyDescent="0.3">
      <c r="C38" t="s">
        <v>935</v>
      </c>
      <c r="D38" t="s">
        <v>936</v>
      </c>
      <c r="E38" t="s">
        <v>670</v>
      </c>
      <c r="F38" t="s">
        <v>894</v>
      </c>
      <c r="G38" s="126">
        <v>87.3</v>
      </c>
      <c r="H38" s="126">
        <v>19.68</v>
      </c>
      <c r="I38" s="126">
        <f t="shared" si="0"/>
        <v>1718.0639999999999</v>
      </c>
      <c r="J38" t="s">
        <v>886</v>
      </c>
      <c r="K38" t="s">
        <v>879</v>
      </c>
      <c r="L38" t="s">
        <v>891</v>
      </c>
    </row>
    <row r="39" spans="3:12" x14ac:dyDescent="0.3">
      <c r="C39" t="s">
        <v>937</v>
      </c>
      <c r="D39" t="s">
        <v>938</v>
      </c>
      <c r="E39" t="s">
        <v>670</v>
      </c>
      <c r="F39" t="s">
        <v>906</v>
      </c>
      <c r="G39" s="126">
        <v>11.9</v>
      </c>
      <c r="H39" s="126">
        <v>32.14</v>
      </c>
      <c r="I39" s="126">
        <f t="shared" si="0"/>
        <v>382.46600000000001</v>
      </c>
      <c r="J39" t="s">
        <v>878</v>
      </c>
      <c r="K39" t="s">
        <v>887</v>
      </c>
      <c r="L39" t="s">
        <v>891</v>
      </c>
    </row>
    <row r="40" spans="3:12" x14ac:dyDescent="0.3">
      <c r="C40" t="s">
        <v>939</v>
      </c>
      <c r="D40" t="s">
        <v>940</v>
      </c>
      <c r="E40" t="s">
        <v>371</v>
      </c>
      <c r="F40" t="s">
        <v>883</v>
      </c>
      <c r="G40" s="126">
        <v>96.3</v>
      </c>
      <c r="H40" s="126">
        <v>35.92</v>
      </c>
      <c r="I40" s="126">
        <f t="shared" si="0"/>
        <v>3459.096</v>
      </c>
      <c r="J40" t="s">
        <v>886</v>
      </c>
      <c r="K40" t="s">
        <v>879</v>
      </c>
      <c r="L40" t="s">
        <v>880</v>
      </c>
    </row>
    <row r="41" spans="3:12" x14ac:dyDescent="0.3">
      <c r="C41" t="s">
        <v>939</v>
      </c>
      <c r="D41" t="s">
        <v>940</v>
      </c>
      <c r="E41" t="s">
        <v>371</v>
      </c>
      <c r="F41" t="s">
        <v>883</v>
      </c>
      <c r="G41" s="126">
        <v>96.3</v>
      </c>
      <c r="H41" s="126">
        <v>35.92</v>
      </c>
      <c r="I41" s="126">
        <f t="shared" si="0"/>
        <v>3459.096</v>
      </c>
      <c r="J41" t="s">
        <v>886</v>
      </c>
      <c r="K41" t="s">
        <v>879</v>
      </c>
      <c r="L41" t="s">
        <v>880</v>
      </c>
    </row>
    <row r="42" spans="3:12" x14ac:dyDescent="0.3">
      <c r="C42" t="s">
        <v>941</v>
      </c>
      <c r="D42" t="s">
        <v>942</v>
      </c>
      <c r="E42" t="s">
        <v>865</v>
      </c>
      <c r="F42" t="s">
        <v>877</v>
      </c>
      <c r="G42" s="126">
        <v>13.6</v>
      </c>
      <c r="H42" s="126">
        <v>20.14</v>
      </c>
      <c r="I42" s="126">
        <f t="shared" si="0"/>
        <v>273.904</v>
      </c>
      <c r="J42" t="s">
        <v>878</v>
      </c>
      <c r="K42" t="s">
        <v>887</v>
      </c>
      <c r="L42" t="s">
        <v>891</v>
      </c>
    </row>
    <row r="43" spans="3:12" x14ac:dyDescent="0.3">
      <c r="C43" t="s">
        <v>943</v>
      </c>
      <c r="D43" t="s">
        <v>942</v>
      </c>
      <c r="E43" t="s">
        <v>363</v>
      </c>
      <c r="F43" t="s">
        <v>909</v>
      </c>
      <c r="G43" s="126">
        <v>68.599999999999994</v>
      </c>
      <c r="H43" s="126">
        <v>23.74</v>
      </c>
      <c r="I43" s="126">
        <f t="shared" si="0"/>
        <v>1628.5639999999999</v>
      </c>
      <c r="J43" t="s">
        <v>886</v>
      </c>
      <c r="K43" t="s">
        <v>879</v>
      </c>
      <c r="L43" t="s">
        <v>880</v>
      </c>
    </row>
    <row r="44" spans="3:12" x14ac:dyDescent="0.3">
      <c r="C44" t="s">
        <v>943</v>
      </c>
      <c r="D44" t="s">
        <v>942</v>
      </c>
      <c r="E44" t="s">
        <v>363</v>
      </c>
      <c r="F44" t="s">
        <v>909</v>
      </c>
      <c r="G44" s="126">
        <v>68.599999999999994</v>
      </c>
      <c r="H44" s="126">
        <v>23.74</v>
      </c>
      <c r="I44" s="126">
        <f t="shared" si="0"/>
        <v>1628.5639999999999</v>
      </c>
      <c r="J44" t="s">
        <v>886</v>
      </c>
      <c r="K44" t="s">
        <v>879</v>
      </c>
      <c r="L44" t="s">
        <v>880</v>
      </c>
    </row>
    <row r="45" spans="3:12" x14ac:dyDescent="0.3">
      <c r="C45" t="s">
        <v>944</v>
      </c>
      <c r="D45" t="s">
        <v>945</v>
      </c>
      <c r="E45" t="s">
        <v>863</v>
      </c>
      <c r="F45" t="s">
        <v>906</v>
      </c>
      <c r="G45" s="126">
        <v>29.3</v>
      </c>
      <c r="H45" s="126">
        <v>13.09</v>
      </c>
      <c r="I45" s="126">
        <f t="shared" si="0"/>
        <v>383.53699999999998</v>
      </c>
      <c r="J45" t="s">
        <v>878</v>
      </c>
      <c r="K45" t="s">
        <v>879</v>
      </c>
      <c r="L45" t="s">
        <v>891</v>
      </c>
    </row>
    <row r="46" spans="3:12" x14ac:dyDescent="0.3">
      <c r="C46" t="s">
        <v>946</v>
      </c>
      <c r="D46" t="s">
        <v>947</v>
      </c>
      <c r="E46" t="s">
        <v>371</v>
      </c>
      <c r="F46" t="s">
        <v>877</v>
      </c>
      <c r="G46" s="126">
        <v>26.42</v>
      </c>
      <c r="H46" s="126">
        <v>83.65</v>
      </c>
      <c r="I46" s="126">
        <f t="shared" si="0"/>
        <v>2210.0330000000004</v>
      </c>
      <c r="J46" t="s">
        <v>878</v>
      </c>
      <c r="K46" t="s">
        <v>887</v>
      </c>
      <c r="L46" t="s">
        <v>891</v>
      </c>
    </row>
    <row r="47" spans="3:12" x14ac:dyDescent="0.3">
      <c r="C47" t="s">
        <v>948</v>
      </c>
      <c r="D47" t="s">
        <v>949</v>
      </c>
      <c r="E47" t="s">
        <v>363</v>
      </c>
      <c r="F47" t="s">
        <v>894</v>
      </c>
      <c r="G47" s="126">
        <v>23.2</v>
      </c>
      <c r="H47" s="126">
        <v>45.11</v>
      </c>
      <c r="I47" s="126">
        <f t="shared" si="0"/>
        <v>1046.5519999999999</v>
      </c>
      <c r="J47" t="s">
        <v>886</v>
      </c>
      <c r="K47" t="s">
        <v>887</v>
      </c>
      <c r="L47" t="s">
        <v>880</v>
      </c>
    </row>
    <row r="48" spans="3:12" x14ac:dyDescent="0.3">
      <c r="C48" t="s">
        <v>950</v>
      </c>
      <c r="D48" t="s">
        <v>951</v>
      </c>
      <c r="E48" t="s">
        <v>363</v>
      </c>
      <c r="F48" t="s">
        <v>906</v>
      </c>
      <c r="G48" s="126">
        <v>62.9</v>
      </c>
      <c r="H48" s="126">
        <v>47.9</v>
      </c>
      <c r="I48" s="126">
        <f t="shared" si="0"/>
        <v>3012.91</v>
      </c>
      <c r="J48" t="s">
        <v>878</v>
      </c>
      <c r="K48" t="s">
        <v>887</v>
      </c>
      <c r="L48" t="s">
        <v>891</v>
      </c>
    </row>
    <row r="49" spans="3:12" x14ac:dyDescent="0.3">
      <c r="C49" t="s">
        <v>952</v>
      </c>
      <c r="D49" t="s">
        <v>953</v>
      </c>
      <c r="E49" t="s">
        <v>371</v>
      </c>
      <c r="F49" t="s">
        <v>906</v>
      </c>
      <c r="G49" s="126">
        <v>85.3</v>
      </c>
      <c r="H49" s="126">
        <v>24.14</v>
      </c>
      <c r="I49" s="126">
        <f t="shared" si="0"/>
        <v>2059.1419999999998</v>
      </c>
      <c r="J49" t="s">
        <v>878</v>
      </c>
      <c r="K49" t="s">
        <v>887</v>
      </c>
      <c r="L49" t="s">
        <v>880</v>
      </c>
    </row>
  </sheetData>
  <mergeCells count="1">
    <mergeCell ref="B1:C1"/>
  </mergeCells>
  <hyperlinks>
    <hyperlink ref="A2" location="Home!A1" display="Home" xr:uid="{C2035B01-C7E1-4156-96C4-5926E75610D5}"/>
    <hyperlink ref="A5" location="Home!A1" display="Home" xr:uid="{4268B267-3102-4469-B45E-449D0F8B1B6F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62FE-CEB9-40CF-A7B0-24569287087E}">
  <dimension ref="A1:K101"/>
  <sheetViews>
    <sheetView workbookViewId="0">
      <selection activeCell="A2" sqref="A2"/>
    </sheetView>
  </sheetViews>
  <sheetFormatPr defaultRowHeight="18.75" x14ac:dyDescent="0.3"/>
  <cols>
    <col min="3" max="3" width="9.5" bestFit="1" customWidth="1"/>
    <col min="4" max="4" width="6.8984375" bestFit="1" customWidth="1"/>
    <col min="5" max="5" width="5.796875" bestFit="1" customWidth="1"/>
    <col min="11" max="11" width="12.796875" customWidth="1"/>
  </cols>
  <sheetData>
    <row r="1" spans="1:11" ht="19.5" thickBot="1" x14ac:dyDescent="0.35">
      <c r="A1" s="75" t="s">
        <v>356</v>
      </c>
      <c r="B1" s="75" t="s">
        <v>317</v>
      </c>
      <c r="C1" s="75" t="s">
        <v>319</v>
      </c>
      <c r="D1" s="75" t="s">
        <v>357</v>
      </c>
      <c r="E1" s="75" t="s">
        <v>84</v>
      </c>
      <c r="F1" s="75" t="s">
        <v>358</v>
      </c>
      <c r="G1" s="75" t="s">
        <v>359</v>
      </c>
      <c r="H1" s="75" t="s">
        <v>252</v>
      </c>
      <c r="K1" s="89" t="s">
        <v>955</v>
      </c>
    </row>
    <row r="2" spans="1:11" x14ac:dyDescent="0.3">
      <c r="A2" s="72">
        <v>1</v>
      </c>
      <c r="B2" s="73" t="s">
        <v>420</v>
      </c>
      <c r="C2" s="73" t="s">
        <v>421</v>
      </c>
      <c r="D2" s="73" t="s">
        <v>363</v>
      </c>
      <c r="E2" s="73" t="s">
        <v>422</v>
      </c>
      <c r="F2" s="73" t="s">
        <v>423</v>
      </c>
      <c r="G2" s="74">
        <v>28126</v>
      </c>
      <c r="H2" s="76">
        <v>21875</v>
      </c>
    </row>
    <row r="3" spans="1:11" x14ac:dyDescent="0.3">
      <c r="A3" s="72">
        <v>3</v>
      </c>
      <c r="B3" s="73" t="s">
        <v>505</v>
      </c>
      <c r="C3" s="73" t="s">
        <v>325</v>
      </c>
      <c r="D3" s="73" t="s">
        <v>375</v>
      </c>
      <c r="E3" s="73" t="s">
        <v>506</v>
      </c>
      <c r="F3" s="73" t="s">
        <v>507</v>
      </c>
      <c r="G3" s="74">
        <v>36220</v>
      </c>
      <c r="H3" s="76">
        <v>7000</v>
      </c>
    </row>
    <row r="4" spans="1:11" x14ac:dyDescent="0.3">
      <c r="A4" s="72">
        <v>4</v>
      </c>
      <c r="B4" s="73" t="s">
        <v>425</v>
      </c>
      <c r="C4" s="73" t="s">
        <v>426</v>
      </c>
      <c r="D4" s="73" t="s">
        <v>367</v>
      </c>
      <c r="E4" s="73" t="s">
        <v>422</v>
      </c>
      <c r="F4" s="73" t="s">
        <v>385</v>
      </c>
      <c r="G4" s="74">
        <v>29183</v>
      </c>
      <c r="H4" s="76">
        <v>12250</v>
      </c>
    </row>
    <row r="5" spans="1:11" x14ac:dyDescent="0.3">
      <c r="A5" s="72">
        <v>5</v>
      </c>
      <c r="B5" s="73" t="s">
        <v>427</v>
      </c>
      <c r="C5" s="73" t="s">
        <v>428</v>
      </c>
      <c r="D5" s="73" t="s">
        <v>391</v>
      </c>
      <c r="E5" s="73" t="s">
        <v>422</v>
      </c>
      <c r="F5" s="73" t="s">
        <v>429</v>
      </c>
      <c r="G5" s="74">
        <v>32755</v>
      </c>
      <c r="H5" s="76">
        <v>21000</v>
      </c>
    </row>
    <row r="6" spans="1:11" x14ac:dyDescent="0.3">
      <c r="A6" s="72">
        <v>6</v>
      </c>
      <c r="B6" s="73" t="s">
        <v>430</v>
      </c>
      <c r="C6" s="73" t="s">
        <v>431</v>
      </c>
      <c r="D6" s="73" t="s">
        <v>375</v>
      </c>
      <c r="E6" s="73" t="s">
        <v>422</v>
      </c>
      <c r="F6" s="73" t="s">
        <v>432</v>
      </c>
      <c r="G6" s="74">
        <v>32390</v>
      </c>
      <c r="H6" s="76">
        <v>12425</v>
      </c>
    </row>
    <row r="7" spans="1:11" x14ac:dyDescent="0.3">
      <c r="A7" s="72">
        <v>7</v>
      </c>
      <c r="B7" s="73" t="s">
        <v>545</v>
      </c>
      <c r="C7" s="73" t="s">
        <v>546</v>
      </c>
      <c r="D7" s="73" t="s">
        <v>384</v>
      </c>
      <c r="E7" s="73" t="s">
        <v>547</v>
      </c>
      <c r="F7" s="73" t="s">
        <v>548</v>
      </c>
      <c r="G7" s="74">
        <v>33102</v>
      </c>
      <c r="H7" s="76">
        <v>12425</v>
      </c>
    </row>
    <row r="8" spans="1:11" x14ac:dyDescent="0.3">
      <c r="A8" s="72">
        <v>8</v>
      </c>
      <c r="B8" s="73" t="s">
        <v>434</v>
      </c>
      <c r="C8" s="73" t="s">
        <v>435</v>
      </c>
      <c r="D8" s="73" t="s">
        <v>391</v>
      </c>
      <c r="E8" s="73" t="s">
        <v>422</v>
      </c>
      <c r="F8" s="73" t="s">
        <v>436</v>
      </c>
      <c r="G8" s="74">
        <v>32755</v>
      </c>
      <c r="H8" s="76">
        <v>12425</v>
      </c>
    </row>
    <row r="9" spans="1:11" x14ac:dyDescent="0.3">
      <c r="A9" s="72">
        <v>9</v>
      </c>
      <c r="B9" s="73" t="s">
        <v>437</v>
      </c>
      <c r="C9" s="73" t="s">
        <v>438</v>
      </c>
      <c r="D9" s="73" t="s">
        <v>363</v>
      </c>
      <c r="E9" s="73" t="s">
        <v>422</v>
      </c>
      <c r="F9" s="73" t="s">
        <v>439</v>
      </c>
      <c r="G9" s="74">
        <v>36506</v>
      </c>
      <c r="H9" s="76">
        <v>14875</v>
      </c>
    </row>
    <row r="10" spans="1:11" x14ac:dyDescent="0.3">
      <c r="A10" s="72">
        <v>10</v>
      </c>
      <c r="B10" s="73" t="s">
        <v>365</v>
      </c>
      <c r="C10" s="73" t="s">
        <v>366</v>
      </c>
      <c r="D10" s="73" t="s">
        <v>367</v>
      </c>
      <c r="E10" s="73" t="s">
        <v>90</v>
      </c>
      <c r="F10" s="73" t="s">
        <v>368</v>
      </c>
      <c r="G10" s="74">
        <v>28326</v>
      </c>
      <c r="H10" s="76">
        <v>15750</v>
      </c>
    </row>
    <row r="11" spans="1:11" x14ac:dyDescent="0.3">
      <c r="A11" s="72">
        <v>11</v>
      </c>
      <c r="B11" s="73" t="s">
        <v>549</v>
      </c>
      <c r="C11" s="73" t="s">
        <v>550</v>
      </c>
      <c r="D11" s="73" t="s">
        <v>371</v>
      </c>
      <c r="E11" s="73" t="s">
        <v>547</v>
      </c>
      <c r="F11" s="73" t="s">
        <v>548</v>
      </c>
      <c r="G11" s="74">
        <v>31402</v>
      </c>
      <c r="H11" s="76">
        <v>14875</v>
      </c>
    </row>
    <row r="12" spans="1:11" x14ac:dyDescent="0.3">
      <c r="A12" s="72">
        <v>12</v>
      </c>
      <c r="B12" s="73" t="s">
        <v>440</v>
      </c>
      <c r="C12" s="73" t="s">
        <v>441</v>
      </c>
      <c r="D12" s="73" t="s">
        <v>375</v>
      </c>
      <c r="E12" s="73" t="s">
        <v>422</v>
      </c>
      <c r="F12" s="73" t="s">
        <v>442</v>
      </c>
      <c r="G12" s="74">
        <v>30376</v>
      </c>
      <c r="H12" s="76">
        <v>21000</v>
      </c>
    </row>
    <row r="13" spans="1:11" x14ac:dyDescent="0.3">
      <c r="A13" s="72">
        <v>13</v>
      </c>
      <c r="B13" s="73" t="s">
        <v>369</v>
      </c>
      <c r="C13" s="73" t="s">
        <v>370</v>
      </c>
      <c r="D13" s="73" t="s">
        <v>371</v>
      </c>
      <c r="E13" s="73" t="s">
        <v>90</v>
      </c>
      <c r="F13" s="73" t="s">
        <v>372</v>
      </c>
      <c r="G13" s="74">
        <v>31027</v>
      </c>
      <c r="H13" s="76">
        <v>19250</v>
      </c>
    </row>
    <row r="14" spans="1:11" x14ac:dyDescent="0.3">
      <c r="A14" s="72">
        <v>14</v>
      </c>
      <c r="B14" s="73" t="s">
        <v>464</v>
      </c>
      <c r="C14" s="73" t="s">
        <v>403</v>
      </c>
      <c r="D14" s="73" t="s">
        <v>508</v>
      </c>
      <c r="E14" s="73" t="s">
        <v>506</v>
      </c>
      <c r="F14" s="73" t="s">
        <v>509</v>
      </c>
      <c r="G14" s="74">
        <v>31028</v>
      </c>
      <c r="H14" s="76">
        <v>49000</v>
      </c>
    </row>
    <row r="15" spans="1:11" x14ac:dyDescent="0.3">
      <c r="A15" s="72">
        <v>15</v>
      </c>
      <c r="B15" s="73" t="s">
        <v>443</v>
      </c>
      <c r="C15" s="73" t="s">
        <v>444</v>
      </c>
      <c r="D15" s="73" t="s">
        <v>384</v>
      </c>
      <c r="E15" s="73" t="s">
        <v>422</v>
      </c>
      <c r="F15" s="73" t="s">
        <v>442</v>
      </c>
      <c r="G15" s="74">
        <v>31029</v>
      </c>
      <c r="H15" s="76">
        <v>14875</v>
      </c>
    </row>
    <row r="16" spans="1:11" x14ac:dyDescent="0.3">
      <c r="A16" s="72">
        <v>16</v>
      </c>
      <c r="B16" s="73" t="s">
        <v>445</v>
      </c>
      <c r="C16" s="73" t="s">
        <v>446</v>
      </c>
      <c r="D16" s="73" t="s">
        <v>384</v>
      </c>
      <c r="E16" s="73" t="s">
        <v>422</v>
      </c>
      <c r="F16" s="73" t="s">
        <v>447</v>
      </c>
      <c r="G16" s="74">
        <v>31030</v>
      </c>
      <c r="H16" s="76">
        <v>14875</v>
      </c>
    </row>
    <row r="17" spans="1:8" x14ac:dyDescent="0.3">
      <c r="A17" s="72">
        <v>17</v>
      </c>
      <c r="B17" s="73" t="s">
        <v>373</v>
      </c>
      <c r="C17" s="73" t="s">
        <v>374</v>
      </c>
      <c r="D17" s="73" t="s">
        <v>375</v>
      </c>
      <c r="E17" s="73" t="s">
        <v>90</v>
      </c>
      <c r="F17" s="73" t="s">
        <v>364</v>
      </c>
      <c r="G17" s="74">
        <v>30376</v>
      </c>
      <c r="H17" s="76">
        <v>15750</v>
      </c>
    </row>
    <row r="18" spans="1:8" x14ac:dyDescent="0.3">
      <c r="A18" s="72">
        <v>18</v>
      </c>
      <c r="B18" s="73" t="s">
        <v>551</v>
      </c>
      <c r="C18" s="73" t="s">
        <v>552</v>
      </c>
      <c r="D18" s="73" t="s">
        <v>375</v>
      </c>
      <c r="E18" s="73" t="s">
        <v>547</v>
      </c>
      <c r="F18" s="73" t="s">
        <v>553</v>
      </c>
      <c r="G18" s="74">
        <v>30376</v>
      </c>
      <c r="H18" s="76">
        <v>15750</v>
      </c>
    </row>
    <row r="19" spans="1:8" x14ac:dyDescent="0.3">
      <c r="A19" s="72">
        <v>19</v>
      </c>
      <c r="B19" s="73" t="s">
        <v>448</v>
      </c>
      <c r="C19" s="73" t="s">
        <v>449</v>
      </c>
      <c r="D19" s="73" t="s">
        <v>367</v>
      </c>
      <c r="E19" s="73" t="s">
        <v>422</v>
      </c>
      <c r="F19" s="73" t="s">
        <v>432</v>
      </c>
      <c r="G19" s="74">
        <v>31637</v>
      </c>
      <c r="H19" s="76">
        <v>10500</v>
      </c>
    </row>
    <row r="20" spans="1:8" x14ac:dyDescent="0.3">
      <c r="A20" s="72">
        <v>20</v>
      </c>
      <c r="B20" s="73" t="s">
        <v>450</v>
      </c>
      <c r="C20" s="73" t="s">
        <v>451</v>
      </c>
      <c r="D20" s="73" t="s">
        <v>367</v>
      </c>
      <c r="E20" s="73" t="s">
        <v>422</v>
      </c>
      <c r="F20" s="73" t="s">
        <v>447</v>
      </c>
      <c r="G20" s="74">
        <v>36316</v>
      </c>
      <c r="H20" s="76">
        <v>5950</v>
      </c>
    </row>
    <row r="21" spans="1:8" x14ac:dyDescent="0.3">
      <c r="A21" s="72">
        <v>21</v>
      </c>
      <c r="B21" s="73" t="s">
        <v>376</v>
      </c>
      <c r="C21" s="73" t="s">
        <v>377</v>
      </c>
      <c r="D21" s="73" t="s">
        <v>367</v>
      </c>
      <c r="E21" s="73" t="s">
        <v>90</v>
      </c>
      <c r="F21" s="73" t="s">
        <v>378</v>
      </c>
      <c r="G21" s="74">
        <v>36317</v>
      </c>
      <c r="H21" s="76">
        <v>7875</v>
      </c>
    </row>
    <row r="22" spans="1:8" x14ac:dyDescent="0.3">
      <c r="A22" s="72">
        <v>22</v>
      </c>
      <c r="B22" s="73" t="s">
        <v>554</v>
      </c>
      <c r="C22" s="73" t="s">
        <v>478</v>
      </c>
      <c r="D22" s="73" t="s">
        <v>367</v>
      </c>
      <c r="E22" s="73" t="s">
        <v>547</v>
      </c>
      <c r="F22" s="73" t="s">
        <v>553</v>
      </c>
      <c r="G22" s="74">
        <v>36318</v>
      </c>
      <c r="H22" s="76">
        <v>7875</v>
      </c>
    </row>
    <row r="23" spans="1:8" x14ac:dyDescent="0.3">
      <c r="A23" s="72">
        <v>23</v>
      </c>
      <c r="B23" s="73" t="s">
        <v>555</v>
      </c>
      <c r="C23" s="73" t="s">
        <v>483</v>
      </c>
      <c r="D23" s="73" t="s">
        <v>367</v>
      </c>
      <c r="E23" s="73" t="s">
        <v>547</v>
      </c>
      <c r="F23" s="73" t="s">
        <v>548</v>
      </c>
      <c r="G23" s="74">
        <v>36319</v>
      </c>
      <c r="H23" s="76">
        <v>7875</v>
      </c>
    </row>
    <row r="24" spans="1:8" x14ac:dyDescent="0.3">
      <c r="A24" s="72">
        <v>24</v>
      </c>
      <c r="B24" s="73" t="s">
        <v>389</v>
      </c>
      <c r="C24" s="73" t="s">
        <v>556</v>
      </c>
      <c r="D24" s="73" t="s">
        <v>363</v>
      </c>
      <c r="E24" s="73" t="s">
        <v>547</v>
      </c>
      <c r="F24" s="73" t="s">
        <v>553</v>
      </c>
      <c r="G24" s="74">
        <v>29362</v>
      </c>
      <c r="H24" s="76">
        <v>14875</v>
      </c>
    </row>
    <row r="25" spans="1:8" x14ac:dyDescent="0.3">
      <c r="A25" s="72">
        <v>25</v>
      </c>
      <c r="B25" s="73" t="s">
        <v>510</v>
      </c>
      <c r="C25" s="73" t="s">
        <v>511</v>
      </c>
      <c r="D25" s="73" t="s">
        <v>391</v>
      </c>
      <c r="E25" s="73" t="s">
        <v>506</v>
      </c>
      <c r="F25" s="73" t="s">
        <v>512</v>
      </c>
      <c r="G25" s="74">
        <v>36274</v>
      </c>
      <c r="H25" s="76">
        <v>7875</v>
      </c>
    </row>
    <row r="26" spans="1:8" x14ac:dyDescent="0.3">
      <c r="A26" s="72">
        <v>26</v>
      </c>
      <c r="B26" s="73" t="s">
        <v>379</v>
      </c>
      <c r="C26" s="73" t="s">
        <v>380</v>
      </c>
      <c r="D26" s="73" t="s">
        <v>363</v>
      </c>
      <c r="E26" s="73" t="s">
        <v>90</v>
      </c>
      <c r="F26" s="73" t="s">
        <v>364</v>
      </c>
      <c r="G26" s="74">
        <v>30225</v>
      </c>
      <c r="H26" s="76">
        <v>19250</v>
      </c>
    </row>
    <row r="27" spans="1:8" x14ac:dyDescent="0.3">
      <c r="A27" s="72">
        <v>27</v>
      </c>
      <c r="B27" s="73" t="s">
        <v>513</v>
      </c>
      <c r="C27" s="73" t="s">
        <v>514</v>
      </c>
      <c r="D27" s="73" t="s">
        <v>363</v>
      </c>
      <c r="E27" s="73" t="s">
        <v>506</v>
      </c>
      <c r="F27" s="73" t="s">
        <v>515</v>
      </c>
      <c r="G27" s="74">
        <v>33787</v>
      </c>
      <c r="H27" s="76">
        <v>13125</v>
      </c>
    </row>
    <row r="28" spans="1:8" x14ac:dyDescent="0.3">
      <c r="A28" s="72">
        <v>28</v>
      </c>
      <c r="B28" s="73" t="s">
        <v>557</v>
      </c>
      <c r="C28" s="73" t="s">
        <v>558</v>
      </c>
      <c r="D28" s="73" t="s">
        <v>391</v>
      </c>
      <c r="E28" s="73" t="s">
        <v>547</v>
      </c>
      <c r="F28" s="73" t="s">
        <v>559</v>
      </c>
      <c r="G28" s="74">
        <v>34777</v>
      </c>
      <c r="H28" s="76">
        <v>10500</v>
      </c>
    </row>
    <row r="29" spans="1:8" x14ac:dyDescent="0.3">
      <c r="A29" s="72">
        <v>29</v>
      </c>
      <c r="B29" s="73" t="s">
        <v>452</v>
      </c>
      <c r="C29" s="73" t="s">
        <v>453</v>
      </c>
      <c r="D29" s="73" t="s">
        <v>375</v>
      </c>
      <c r="E29" s="73" t="s">
        <v>422</v>
      </c>
      <c r="F29" s="73" t="s">
        <v>447</v>
      </c>
      <c r="G29" s="74">
        <v>35189</v>
      </c>
      <c r="H29" s="76">
        <v>9625</v>
      </c>
    </row>
    <row r="30" spans="1:8" x14ac:dyDescent="0.3">
      <c r="A30" s="72">
        <v>30</v>
      </c>
      <c r="B30" s="73" t="s">
        <v>382</v>
      </c>
      <c r="C30" s="73" t="s">
        <v>383</v>
      </c>
      <c r="D30" s="73" t="s">
        <v>384</v>
      </c>
      <c r="E30" s="73" t="s">
        <v>90</v>
      </c>
      <c r="F30" s="73" t="s">
        <v>378</v>
      </c>
      <c r="G30" s="74">
        <v>32435</v>
      </c>
      <c r="H30" s="76">
        <v>14175</v>
      </c>
    </row>
    <row r="31" spans="1:8" x14ac:dyDescent="0.3">
      <c r="A31" s="72">
        <v>31</v>
      </c>
      <c r="B31" s="73" t="s">
        <v>454</v>
      </c>
      <c r="C31" s="73" t="s">
        <v>455</v>
      </c>
      <c r="D31" s="73" t="s">
        <v>391</v>
      </c>
      <c r="E31" s="73" t="s">
        <v>422</v>
      </c>
      <c r="F31" s="73" t="s">
        <v>436</v>
      </c>
      <c r="G31" s="74">
        <v>30225</v>
      </c>
      <c r="H31" s="76">
        <v>15750</v>
      </c>
    </row>
    <row r="32" spans="1:8" x14ac:dyDescent="0.3">
      <c r="A32" s="72">
        <v>32</v>
      </c>
      <c r="B32" s="73" t="s">
        <v>516</v>
      </c>
      <c r="C32" s="73" t="s">
        <v>472</v>
      </c>
      <c r="D32" s="73" t="s">
        <v>397</v>
      </c>
      <c r="E32" s="73" t="s">
        <v>506</v>
      </c>
      <c r="F32" s="73" t="s">
        <v>512</v>
      </c>
      <c r="G32" s="74">
        <v>30225</v>
      </c>
      <c r="H32" s="76">
        <v>15750</v>
      </c>
    </row>
    <row r="33" spans="1:8" x14ac:dyDescent="0.3">
      <c r="A33" s="72">
        <v>33</v>
      </c>
      <c r="B33" s="73" t="s">
        <v>456</v>
      </c>
      <c r="C33" s="73" t="s">
        <v>457</v>
      </c>
      <c r="D33" s="73" t="s">
        <v>397</v>
      </c>
      <c r="E33" s="73" t="s">
        <v>422</v>
      </c>
      <c r="F33" s="73" t="s">
        <v>439</v>
      </c>
      <c r="G33" s="74">
        <v>35618</v>
      </c>
      <c r="H33" s="76">
        <v>7000</v>
      </c>
    </row>
    <row r="34" spans="1:8" x14ac:dyDescent="0.3">
      <c r="A34" s="72">
        <v>34</v>
      </c>
      <c r="B34" s="73" t="s">
        <v>458</v>
      </c>
      <c r="C34" s="73" t="s">
        <v>459</v>
      </c>
      <c r="D34" s="73" t="s">
        <v>397</v>
      </c>
      <c r="E34" s="73" t="s">
        <v>422</v>
      </c>
      <c r="F34" s="73" t="s">
        <v>460</v>
      </c>
      <c r="G34" s="74">
        <v>33510</v>
      </c>
      <c r="H34" s="76">
        <v>8750</v>
      </c>
    </row>
    <row r="35" spans="1:8" x14ac:dyDescent="0.3">
      <c r="A35" s="72">
        <v>35</v>
      </c>
      <c r="B35" s="73" t="s">
        <v>517</v>
      </c>
      <c r="C35" s="73" t="s">
        <v>472</v>
      </c>
      <c r="D35" s="73" t="s">
        <v>367</v>
      </c>
      <c r="E35" s="73" t="s">
        <v>506</v>
      </c>
      <c r="F35" s="73" t="s">
        <v>512</v>
      </c>
      <c r="G35" s="74">
        <v>33729</v>
      </c>
      <c r="H35" s="76">
        <v>9275</v>
      </c>
    </row>
    <row r="36" spans="1:8" x14ac:dyDescent="0.3">
      <c r="A36" s="72">
        <v>36</v>
      </c>
      <c r="B36" s="73" t="s">
        <v>389</v>
      </c>
      <c r="C36" s="73" t="s">
        <v>560</v>
      </c>
      <c r="D36" s="73" t="s">
        <v>384</v>
      </c>
      <c r="E36" s="73" t="s">
        <v>547</v>
      </c>
      <c r="F36" s="73" t="s">
        <v>561</v>
      </c>
      <c r="G36" s="74">
        <v>34580</v>
      </c>
      <c r="H36" s="76">
        <v>11725</v>
      </c>
    </row>
    <row r="37" spans="1:8" x14ac:dyDescent="0.3">
      <c r="A37" s="72">
        <v>37</v>
      </c>
      <c r="B37" s="73" t="s">
        <v>440</v>
      </c>
      <c r="C37" s="73" t="s">
        <v>518</v>
      </c>
      <c r="D37" s="73" t="s">
        <v>371</v>
      </c>
      <c r="E37" s="73" t="s">
        <v>506</v>
      </c>
      <c r="F37" s="73" t="s">
        <v>519</v>
      </c>
      <c r="G37" s="74">
        <v>30225</v>
      </c>
      <c r="H37" s="76">
        <v>24500</v>
      </c>
    </row>
    <row r="38" spans="1:8" x14ac:dyDescent="0.3">
      <c r="A38" s="72">
        <v>38</v>
      </c>
      <c r="B38" s="73" t="s">
        <v>461</v>
      </c>
      <c r="C38" s="73" t="s">
        <v>462</v>
      </c>
      <c r="D38" s="73" t="s">
        <v>371</v>
      </c>
      <c r="E38" s="73" t="s">
        <v>422</v>
      </c>
      <c r="F38" s="73" t="s">
        <v>463</v>
      </c>
      <c r="G38" s="74">
        <v>30225</v>
      </c>
      <c r="H38" s="76">
        <v>24500</v>
      </c>
    </row>
    <row r="39" spans="1:8" x14ac:dyDescent="0.3">
      <c r="A39" s="72">
        <v>39</v>
      </c>
      <c r="B39" s="73" t="s">
        <v>464</v>
      </c>
      <c r="C39" s="73" t="s">
        <v>465</v>
      </c>
      <c r="D39" s="73" t="s">
        <v>371</v>
      </c>
      <c r="E39" s="73" t="s">
        <v>422</v>
      </c>
      <c r="F39" s="73" t="s">
        <v>466</v>
      </c>
      <c r="G39" s="74">
        <v>30225</v>
      </c>
      <c r="H39" s="76">
        <v>24500</v>
      </c>
    </row>
    <row r="40" spans="1:8" x14ac:dyDescent="0.3">
      <c r="A40" s="72">
        <v>40</v>
      </c>
      <c r="B40" s="73" t="s">
        <v>520</v>
      </c>
      <c r="C40" s="73" t="s">
        <v>521</v>
      </c>
      <c r="D40" s="73" t="s">
        <v>363</v>
      </c>
      <c r="E40" s="73" t="s">
        <v>506</v>
      </c>
      <c r="F40" s="73" t="s">
        <v>512</v>
      </c>
      <c r="G40" s="74">
        <v>33510</v>
      </c>
      <c r="H40" s="76">
        <v>10500</v>
      </c>
    </row>
    <row r="41" spans="1:8" x14ac:dyDescent="0.3">
      <c r="A41" s="72">
        <v>41</v>
      </c>
      <c r="B41" s="73" t="s">
        <v>386</v>
      </c>
      <c r="C41" s="73" t="s">
        <v>387</v>
      </c>
      <c r="D41" s="73" t="s">
        <v>375</v>
      </c>
      <c r="E41" s="73" t="s">
        <v>90</v>
      </c>
      <c r="F41" s="73" t="s">
        <v>368</v>
      </c>
      <c r="G41" s="74">
        <v>35595</v>
      </c>
      <c r="H41" s="76">
        <v>7875</v>
      </c>
    </row>
    <row r="42" spans="1:8" x14ac:dyDescent="0.3">
      <c r="A42" s="72">
        <v>42</v>
      </c>
      <c r="B42" s="73" t="s">
        <v>389</v>
      </c>
      <c r="C42" s="73" t="s">
        <v>390</v>
      </c>
      <c r="D42" s="73" t="s">
        <v>391</v>
      </c>
      <c r="E42" s="73" t="s">
        <v>90</v>
      </c>
      <c r="F42" s="73" t="s">
        <v>372</v>
      </c>
      <c r="G42" s="74">
        <v>33510</v>
      </c>
      <c r="H42" s="76">
        <v>13300</v>
      </c>
    </row>
    <row r="43" spans="1:8" x14ac:dyDescent="0.3">
      <c r="A43" s="72">
        <v>43</v>
      </c>
      <c r="B43" s="73" t="s">
        <v>562</v>
      </c>
      <c r="C43" s="73" t="s">
        <v>525</v>
      </c>
      <c r="D43" s="73" t="s">
        <v>384</v>
      </c>
      <c r="E43" s="73" t="s">
        <v>547</v>
      </c>
      <c r="F43" s="73" t="s">
        <v>559</v>
      </c>
      <c r="G43" s="74">
        <v>32435</v>
      </c>
      <c r="H43" s="76">
        <v>15750</v>
      </c>
    </row>
    <row r="44" spans="1:8" x14ac:dyDescent="0.3">
      <c r="A44" s="72">
        <v>44</v>
      </c>
      <c r="B44" s="73" t="s">
        <v>393</v>
      </c>
      <c r="C44" s="73" t="s">
        <v>394</v>
      </c>
      <c r="D44" s="73" t="s">
        <v>384</v>
      </c>
      <c r="E44" s="73" t="s">
        <v>90</v>
      </c>
      <c r="F44" s="73" t="s">
        <v>364</v>
      </c>
      <c r="G44" s="74">
        <v>33194</v>
      </c>
      <c r="H44" s="76">
        <v>13825</v>
      </c>
    </row>
    <row r="45" spans="1:8" x14ac:dyDescent="0.3">
      <c r="A45" s="72">
        <v>45</v>
      </c>
      <c r="B45" s="73" t="s">
        <v>467</v>
      </c>
      <c r="C45" s="73" t="s">
        <v>468</v>
      </c>
      <c r="D45" s="73" t="s">
        <v>391</v>
      </c>
      <c r="E45" s="73" t="s">
        <v>422</v>
      </c>
      <c r="F45" s="73" t="s">
        <v>423</v>
      </c>
      <c r="G45" s="74">
        <v>35618</v>
      </c>
      <c r="H45" s="76">
        <v>11375</v>
      </c>
    </row>
    <row r="46" spans="1:8" x14ac:dyDescent="0.3">
      <c r="A46" s="72">
        <v>46</v>
      </c>
      <c r="B46" s="73" t="s">
        <v>469</v>
      </c>
      <c r="C46" s="73" t="s">
        <v>470</v>
      </c>
      <c r="D46" s="73" t="s">
        <v>363</v>
      </c>
      <c r="E46" s="73" t="s">
        <v>422</v>
      </c>
      <c r="F46" s="73" t="s">
        <v>460</v>
      </c>
      <c r="G46" s="74">
        <v>33510</v>
      </c>
      <c r="H46" s="76">
        <v>15750</v>
      </c>
    </row>
    <row r="47" spans="1:8" x14ac:dyDescent="0.3">
      <c r="A47" s="72">
        <v>47</v>
      </c>
      <c r="B47" s="73" t="s">
        <v>471</v>
      </c>
      <c r="C47" s="73" t="s">
        <v>472</v>
      </c>
      <c r="D47" s="73" t="s">
        <v>375</v>
      </c>
      <c r="E47" s="73" t="s">
        <v>422</v>
      </c>
      <c r="F47" s="73" t="s">
        <v>429</v>
      </c>
      <c r="G47" s="74">
        <v>32180</v>
      </c>
      <c r="H47" s="76">
        <v>15750</v>
      </c>
    </row>
    <row r="48" spans="1:8" x14ac:dyDescent="0.3">
      <c r="A48" s="72">
        <v>48</v>
      </c>
      <c r="B48" s="73" t="s">
        <v>563</v>
      </c>
      <c r="C48" s="73" t="s">
        <v>472</v>
      </c>
      <c r="D48" s="73" t="s">
        <v>397</v>
      </c>
      <c r="E48" s="73" t="s">
        <v>547</v>
      </c>
      <c r="F48" s="73" t="s">
        <v>564</v>
      </c>
      <c r="G48" s="74">
        <v>32435</v>
      </c>
      <c r="H48" s="76">
        <v>15750</v>
      </c>
    </row>
    <row r="49" spans="1:8" x14ac:dyDescent="0.3">
      <c r="A49" s="72">
        <v>49</v>
      </c>
      <c r="B49" s="73" t="s">
        <v>522</v>
      </c>
      <c r="C49" s="73" t="s">
        <v>523</v>
      </c>
      <c r="D49" s="73" t="s">
        <v>397</v>
      </c>
      <c r="E49" s="73" t="s">
        <v>506</v>
      </c>
      <c r="F49" s="73" t="s">
        <v>509</v>
      </c>
      <c r="G49" s="74">
        <v>32435</v>
      </c>
      <c r="H49" s="76">
        <v>15750</v>
      </c>
    </row>
    <row r="50" spans="1:8" x14ac:dyDescent="0.3">
      <c r="A50" s="72">
        <v>50</v>
      </c>
      <c r="B50" s="73" t="s">
        <v>565</v>
      </c>
      <c r="C50" s="73" t="s">
        <v>470</v>
      </c>
      <c r="D50" s="73" t="s">
        <v>384</v>
      </c>
      <c r="E50" s="73" t="s">
        <v>547</v>
      </c>
      <c r="F50" s="73" t="s">
        <v>564</v>
      </c>
      <c r="G50" s="74">
        <v>32435</v>
      </c>
      <c r="H50" s="76">
        <v>15750</v>
      </c>
    </row>
    <row r="51" spans="1:8" x14ac:dyDescent="0.3">
      <c r="A51" s="72">
        <v>51</v>
      </c>
      <c r="B51" s="73" t="s">
        <v>473</v>
      </c>
      <c r="C51" s="73" t="s">
        <v>474</v>
      </c>
      <c r="D51" s="73" t="s">
        <v>363</v>
      </c>
      <c r="E51" s="73" t="s">
        <v>422</v>
      </c>
      <c r="F51" s="73" t="s">
        <v>442</v>
      </c>
      <c r="G51" s="74">
        <v>32436</v>
      </c>
      <c r="H51" s="76">
        <v>15750</v>
      </c>
    </row>
    <row r="52" spans="1:8" x14ac:dyDescent="0.3">
      <c r="A52" s="72">
        <v>52</v>
      </c>
      <c r="B52" s="73" t="s">
        <v>475</v>
      </c>
      <c r="C52" s="73" t="s">
        <v>476</v>
      </c>
      <c r="D52" s="73" t="s">
        <v>397</v>
      </c>
      <c r="E52" s="73" t="s">
        <v>422</v>
      </c>
      <c r="F52" s="73" t="s">
        <v>460</v>
      </c>
      <c r="G52" s="74">
        <v>32437</v>
      </c>
      <c r="H52" s="76">
        <v>19250</v>
      </c>
    </row>
    <row r="53" spans="1:8" x14ac:dyDescent="0.3">
      <c r="A53" s="72">
        <v>53</v>
      </c>
      <c r="B53" s="73" t="s">
        <v>566</v>
      </c>
      <c r="C53" s="73" t="s">
        <v>567</v>
      </c>
      <c r="D53" s="73" t="s">
        <v>397</v>
      </c>
      <c r="E53" s="73" t="s">
        <v>547</v>
      </c>
      <c r="F53" s="73" t="s">
        <v>568</v>
      </c>
      <c r="G53" s="74">
        <v>35034</v>
      </c>
      <c r="H53" s="76">
        <v>15750</v>
      </c>
    </row>
    <row r="54" spans="1:8" x14ac:dyDescent="0.3">
      <c r="A54" s="72">
        <v>54</v>
      </c>
      <c r="B54" s="73" t="s">
        <v>395</v>
      </c>
      <c r="C54" s="73" t="s">
        <v>396</v>
      </c>
      <c r="D54" s="73" t="s">
        <v>397</v>
      </c>
      <c r="E54" s="73" t="s">
        <v>90</v>
      </c>
      <c r="F54" s="73" t="s">
        <v>398</v>
      </c>
      <c r="G54" s="74">
        <v>34761</v>
      </c>
      <c r="H54" s="76">
        <v>15750</v>
      </c>
    </row>
    <row r="55" spans="1:8" x14ac:dyDescent="0.3">
      <c r="A55" s="72">
        <v>55</v>
      </c>
      <c r="B55" s="73" t="s">
        <v>399</v>
      </c>
      <c r="C55" s="73" t="s">
        <v>400</v>
      </c>
      <c r="D55" s="73" t="s">
        <v>397</v>
      </c>
      <c r="E55" s="73" t="s">
        <v>90</v>
      </c>
      <c r="F55" s="73" t="s">
        <v>401</v>
      </c>
      <c r="G55" s="74">
        <v>31717</v>
      </c>
      <c r="H55" s="76">
        <v>15750</v>
      </c>
    </row>
    <row r="56" spans="1:8" x14ac:dyDescent="0.3">
      <c r="A56" s="72">
        <v>56</v>
      </c>
      <c r="B56" s="73" t="s">
        <v>569</v>
      </c>
      <c r="C56" s="73" t="s">
        <v>570</v>
      </c>
      <c r="D56" s="73" t="s">
        <v>363</v>
      </c>
      <c r="E56" s="73" t="s">
        <v>547</v>
      </c>
      <c r="F56" s="73" t="s">
        <v>568</v>
      </c>
      <c r="G56" s="74">
        <v>33878</v>
      </c>
      <c r="H56" s="76">
        <v>14875</v>
      </c>
    </row>
    <row r="57" spans="1:8" x14ac:dyDescent="0.3">
      <c r="A57" s="72">
        <v>57</v>
      </c>
      <c r="B57" s="73" t="s">
        <v>524</v>
      </c>
      <c r="C57" s="73" t="s">
        <v>525</v>
      </c>
      <c r="D57" s="73" t="s">
        <v>363</v>
      </c>
      <c r="E57" s="73" t="s">
        <v>506</v>
      </c>
      <c r="F57" s="73" t="s">
        <v>526</v>
      </c>
      <c r="G57" s="74">
        <v>34098</v>
      </c>
      <c r="H57" s="76">
        <v>14875</v>
      </c>
    </row>
    <row r="58" spans="1:8" x14ac:dyDescent="0.3">
      <c r="A58" s="72">
        <v>58</v>
      </c>
      <c r="B58" s="73" t="s">
        <v>477</v>
      </c>
      <c r="C58" s="73" t="s">
        <v>478</v>
      </c>
      <c r="D58" s="73" t="s">
        <v>367</v>
      </c>
      <c r="E58" s="73" t="s">
        <v>422</v>
      </c>
      <c r="F58" s="73" t="s">
        <v>436</v>
      </c>
      <c r="G58" s="74">
        <v>33182</v>
      </c>
      <c r="H58" s="76">
        <v>17500</v>
      </c>
    </row>
    <row r="59" spans="1:8" x14ac:dyDescent="0.3">
      <c r="A59" s="72">
        <v>59</v>
      </c>
      <c r="B59" s="73" t="s">
        <v>527</v>
      </c>
      <c r="C59" s="73" t="s">
        <v>528</v>
      </c>
      <c r="D59" s="73" t="s">
        <v>375</v>
      </c>
      <c r="E59" s="73" t="s">
        <v>506</v>
      </c>
      <c r="F59" s="73" t="s">
        <v>515</v>
      </c>
      <c r="G59" s="74">
        <v>31791</v>
      </c>
      <c r="H59" s="76">
        <v>19250</v>
      </c>
    </row>
    <row r="60" spans="1:8" x14ac:dyDescent="0.3">
      <c r="A60" s="72">
        <v>60</v>
      </c>
      <c r="B60" s="73" t="s">
        <v>529</v>
      </c>
      <c r="C60" s="73" t="s">
        <v>530</v>
      </c>
      <c r="D60" s="73" t="s">
        <v>367</v>
      </c>
      <c r="E60" s="73" t="s">
        <v>506</v>
      </c>
      <c r="F60" s="73" t="s">
        <v>531</v>
      </c>
      <c r="G60" s="74">
        <v>32105</v>
      </c>
      <c r="H60" s="76">
        <v>19250</v>
      </c>
    </row>
    <row r="61" spans="1:8" x14ac:dyDescent="0.3">
      <c r="A61" s="72">
        <v>61</v>
      </c>
      <c r="B61" s="73" t="s">
        <v>479</v>
      </c>
      <c r="C61" s="73" t="s">
        <v>480</v>
      </c>
      <c r="D61" s="73" t="s">
        <v>375</v>
      </c>
      <c r="E61" s="73" t="s">
        <v>422</v>
      </c>
      <c r="F61" s="73" t="s">
        <v>436</v>
      </c>
      <c r="G61" s="74">
        <v>32106</v>
      </c>
      <c r="H61" s="76">
        <v>19250</v>
      </c>
    </row>
    <row r="62" spans="1:8" x14ac:dyDescent="0.3">
      <c r="A62" s="72">
        <v>62</v>
      </c>
      <c r="B62" s="73" t="s">
        <v>481</v>
      </c>
      <c r="C62" s="73" t="s">
        <v>374</v>
      </c>
      <c r="D62" s="73" t="s">
        <v>363</v>
      </c>
      <c r="E62" s="73" t="s">
        <v>422</v>
      </c>
      <c r="F62" s="73" t="s">
        <v>429</v>
      </c>
      <c r="G62" s="74">
        <v>32107</v>
      </c>
      <c r="H62" s="76">
        <v>19251</v>
      </c>
    </row>
    <row r="63" spans="1:8" x14ac:dyDescent="0.3">
      <c r="A63" s="72">
        <v>63</v>
      </c>
      <c r="B63" s="73" t="s">
        <v>482</v>
      </c>
      <c r="C63" s="73" t="s">
        <v>483</v>
      </c>
      <c r="D63" s="73" t="s">
        <v>391</v>
      </c>
      <c r="E63" s="73" t="s">
        <v>422</v>
      </c>
      <c r="F63" s="73" t="s">
        <v>442</v>
      </c>
      <c r="G63" s="74">
        <v>32440</v>
      </c>
      <c r="H63" s="76">
        <v>17500</v>
      </c>
    </row>
    <row r="64" spans="1:8" x14ac:dyDescent="0.3">
      <c r="A64" s="72">
        <v>64</v>
      </c>
      <c r="B64" s="73" t="s">
        <v>532</v>
      </c>
      <c r="C64" s="73" t="s">
        <v>533</v>
      </c>
      <c r="D64" s="73" t="s">
        <v>384</v>
      </c>
      <c r="E64" s="73" t="s">
        <v>506</v>
      </c>
      <c r="F64" s="73" t="s">
        <v>507</v>
      </c>
      <c r="G64" s="74">
        <v>32441</v>
      </c>
      <c r="H64" s="76">
        <v>17500</v>
      </c>
    </row>
    <row r="65" spans="1:8" x14ac:dyDescent="0.3">
      <c r="A65" s="72">
        <v>65</v>
      </c>
      <c r="B65" s="73" t="s">
        <v>402</v>
      </c>
      <c r="C65" s="73" t="s">
        <v>403</v>
      </c>
      <c r="D65" s="73" t="s">
        <v>397</v>
      </c>
      <c r="E65" s="73" t="s">
        <v>90</v>
      </c>
      <c r="F65" s="73" t="s">
        <v>372</v>
      </c>
      <c r="G65" s="74">
        <v>32442</v>
      </c>
      <c r="H65" s="76">
        <v>17500</v>
      </c>
    </row>
    <row r="66" spans="1:8" x14ac:dyDescent="0.3">
      <c r="A66" s="72">
        <v>66</v>
      </c>
      <c r="B66" s="73" t="s">
        <v>484</v>
      </c>
      <c r="C66" s="73" t="s">
        <v>485</v>
      </c>
      <c r="D66" s="73" t="s">
        <v>384</v>
      </c>
      <c r="E66" s="73" t="s">
        <v>422</v>
      </c>
      <c r="F66" s="73" t="s">
        <v>436</v>
      </c>
      <c r="G66" s="74">
        <v>32443</v>
      </c>
      <c r="H66" s="76">
        <v>17500</v>
      </c>
    </row>
    <row r="67" spans="1:8" x14ac:dyDescent="0.3">
      <c r="A67" s="72">
        <v>67</v>
      </c>
      <c r="B67" s="73" t="s">
        <v>486</v>
      </c>
      <c r="C67" s="73" t="s">
        <v>405</v>
      </c>
      <c r="D67" s="73" t="s">
        <v>384</v>
      </c>
      <c r="E67" s="73" t="s">
        <v>422</v>
      </c>
      <c r="F67" s="73" t="s">
        <v>460</v>
      </c>
      <c r="G67" s="74">
        <v>32444</v>
      </c>
      <c r="H67" s="76">
        <v>20125</v>
      </c>
    </row>
    <row r="68" spans="1:8" x14ac:dyDescent="0.3">
      <c r="A68" s="72">
        <v>68</v>
      </c>
      <c r="B68" s="73" t="s">
        <v>487</v>
      </c>
      <c r="C68" s="73" t="s">
        <v>403</v>
      </c>
      <c r="D68" s="73" t="s">
        <v>363</v>
      </c>
      <c r="E68" s="73" t="s">
        <v>422</v>
      </c>
      <c r="F68" s="73" t="s">
        <v>466</v>
      </c>
      <c r="G68" s="74">
        <v>35034</v>
      </c>
      <c r="H68" s="76">
        <v>14000</v>
      </c>
    </row>
    <row r="69" spans="1:8" x14ac:dyDescent="0.3">
      <c r="A69" s="72">
        <v>69</v>
      </c>
      <c r="B69" s="73" t="s">
        <v>488</v>
      </c>
      <c r="C69" s="73" t="s">
        <v>472</v>
      </c>
      <c r="D69" s="73" t="s">
        <v>384</v>
      </c>
      <c r="E69" s="73" t="s">
        <v>422</v>
      </c>
      <c r="F69" s="73" t="s">
        <v>466</v>
      </c>
      <c r="G69" s="74">
        <v>34761</v>
      </c>
      <c r="H69" s="76">
        <v>14000</v>
      </c>
    </row>
    <row r="70" spans="1:8" x14ac:dyDescent="0.3">
      <c r="A70" s="72">
        <v>70</v>
      </c>
      <c r="B70" s="73" t="s">
        <v>404</v>
      </c>
      <c r="C70" s="73" t="s">
        <v>405</v>
      </c>
      <c r="D70" s="73" t="s">
        <v>367</v>
      </c>
      <c r="E70" s="73" t="s">
        <v>90</v>
      </c>
      <c r="F70" s="73" t="s">
        <v>372</v>
      </c>
      <c r="G70" s="74">
        <v>34762</v>
      </c>
      <c r="H70" s="76">
        <v>14000</v>
      </c>
    </row>
    <row r="71" spans="1:8" x14ac:dyDescent="0.3">
      <c r="A71" s="72">
        <v>71</v>
      </c>
      <c r="B71" s="73" t="s">
        <v>571</v>
      </c>
      <c r="C71" s="73" t="s">
        <v>572</v>
      </c>
      <c r="D71" s="73" t="s">
        <v>391</v>
      </c>
      <c r="E71" s="73" t="s">
        <v>547</v>
      </c>
      <c r="F71" s="73" t="s">
        <v>573</v>
      </c>
      <c r="G71" s="74">
        <v>34763</v>
      </c>
      <c r="H71" s="76">
        <v>14000</v>
      </c>
    </row>
    <row r="72" spans="1:8" x14ac:dyDescent="0.3">
      <c r="A72" s="72">
        <v>72</v>
      </c>
      <c r="B72" s="73" t="s">
        <v>534</v>
      </c>
      <c r="C72" s="73" t="s">
        <v>455</v>
      </c>
      <c r="D72" s="73" t="s">
        <v>391</v>
      </c>
      <c r="E72" s="73" t="s">
        <v>506</v>
      </c>
      <c r="F72" s="73" t="s">
        <v>519</v>
      </c>
      <c r="G72" s="74">
        <v>32438</v>
      </c>
      <c r="H72" s="76">
        <v>17500</v>
      </c>
    </row>
    <row r="73" spans="1:8" x14ac:dyDescent="0.3">
      <c r="A73" s="72">
        <v>73</v>
      </c>
      <c r="B73" s="73" t="s">
        <v>489</v>
      </c>
      <c r="C73" s="73" t="s">
        <v>490</v>
      </c>
      <c r="D73" s="73" t="s">
        <v>397</v>
      </c>
      <c r="E73" s="73" t="s">
        <v>422</v>
      </c>
      <c r="F73" s="73" t="s">
        <v>447</v>
      </c>
      <c r="G73" s="74">
        <v>32439</v>
      </c>
      <c r="H73" s="76">
        <v>17500</v>
      </c>
    </row>
    <row r="74" spans="1:8" x14ac:dyDescent="0.3">
      <c r="A74" s="72">
        <v>74</v>
      </c>
      <c r="B74" s="73" t="s">
        <v>406</v>
      </c>
      <c r="C74" s="73" t="s">
        <v>407</v>
      </c>
      <c r="D74" s="73" t="s">
        <v>363</v>
      </c>
      <c r="E74" s="73" t="s">
        <v>90</v>
      </c>
      <c r="F74" s="73" t="s">
        <v>368</v>
      </c>
      <c r="G74" s="74">
        <v>32440</v>
      </c>
      <c r="H74" s="76">
        <v>17500</v>
      </c>
    </row>
    <row r="75" spans="1:8" x14ac:dyDescent="0.3">
      <c r="A75" s="72">
        <v>75</v>
      </c>
      <c r="B75" s="73" t="s">
        <v>409</v>
      </c>
      <c r="C75" s="73" t="s">
        <v>410</v>
      </c>
      <c r="D75" s="73" t="s">
        <v>375</v>
      </c>
      <c r="E75" s="73" t="s">
        <v>90</v>
      </c>
      <c r="F75" s="73" t="s">
        <v>372</v>
      </c>
      <c r="G75" s="74">
        <v>32441</v>
      </c>
      <c r="H75" s="76">
        <v>17500</v>
      </c>
    </row>
    <row r="76" spans="1:8" x14ac:dyDescent="0.3">
      <c r="A76" s="72">
        <v>76</v>
      </c>
      <c r="B76" s="73" t="s">
        <v>574</v>
      </c>
      <c r="C76" s="73" t="s">
        <v>394</v>
      </c>
      <c r="D76" s="73" t="s">
        <v>397</v>
      </c>
      <c r="E76" s="73" t="s">
        <v>547</v>
      </c>
      <c r="F76" s="73" t="s">
        <v>573</v>
      </c>
      <c r="G76" s="74">
        <v>32442</v>
      </c>
      <c r="H76" s="76">
        <v>17500</v>
      </c>
    </row>
    <row r="77" spans="1:8" x14ac:dyDescent="0.3">
      <c r="A77" s="72">
        <v>77</v>
      </c>
      <c r="B77" s="73" t="s">
        <v>491</v>
      </c>
      <c r="C77" s="73" t="s">
        <v>485</v>
      </c>
      <c r="D77" s="73" t="s">
        <v>391</v>
      </c>
      <c r="E77" s="73" t="s">
        <v>422</v>
      </c>
      <c r="F77" s="73" t="s">
        <v>385</v>
      </c>
      <c r="G77" s="74">
        <v>32443</v>
      </c>
      <c r="H77" s="76">
        <v>17500</v>
      </c>
    </row>
    <row r="78" spans="1:8" x14ac:dyDescent="0.3">
      <c r="A78" s="72">
        <v>78</v>
      </c>
      <c r="B78" s="73" t="s">
        <v>575</v>
      </c>
      <c r="C78" s="73" t="s">
        <v>576</v>
      </c>
      <c r="D78" s="73" t="s">
        <v>363</v>
      </c>
      <c r="E78" s="73" t="s">
        <v>547</v>
      </c>
      <c r="F78" s="73" t="s">
        <v>559</v>
      </c>
      <c r="G78" s="74">
        <v>32444</v>
      </c>
      <c r="H78" s="76">
        <v>17500</v>
      </c>
    </row>
    <row r="79" spans="1:8" x14ac:dyDescent="0.3">
      <c r="A79" s="72">
        <v>79</v>
      </c>
      <c r="B79" s="73" t="s">
        <v>492</v>
      </c>
      <c r="C79" s="73" t="s">
        <v>493</v>
      </c>
      <c r="D79" s="73" t="s">
        <v>367</v>
      </c>
      <c r="E79" s="73" t="s">
        <v>422</v>
      </c>
      <c r="F79" s="73" t="s">
        <v>385</v>
      </c>
      <c r="G79" s="74">
        <v>32445</v>
      </c>
      <c r="H79" s="76">
        <v>17500</v>
      </c>
    </row>
    <row r="80" spans="1:8" x14ac:dyDescent="0.3">
      <c r="A80" s="72">
        <v>80</v>
      </c>
      <c r="B80" s="73" t="s">
        <v>494</v>
      </c>
      <c r="C80" s="73" t="s">
        <v>495</v>
      </c>
      <c r="D80" s="73" t="s">
        <v>367</v>
      </c>
      <c r="E80" s="73" t="s">
        <v>422</v>
      </c>
      <c r="F80" s="73" t="s">
        <v>423</v>
      </c>
      <c r="G80" s="74">
        <v>32446</v>
      </c>
      <c r="H80" s="76">
        <v>17500</v>
      </c>
    </row>
    <row r="81" spans="1:8" x14ac:dyDescent="0.3">
      <c r="A81" s="72">
        <v>81</v>
      </c>
      <c r="B81" s="73" t="s">
        <v>535</v>
      </c>
      <c r="C81" s="73" t="s">
        <v>536</v>
      </c>
      <c r="D81" s="73" t="s">
        <v>397</v>
      </c>
      <c r="E81" s="73" t="s">
        <v>506</v>
      </c>
      <c r="F81" s="73" t="s">
        <v>526</v>
      </c>
      <c r="G81" s="74">
        <v>32447</v>
      </c>
      <c r="H81" s="76">
        <v>17500</v>
      </c>
    </row>
    <row r="82" spans="1:8" x14ac:dyDescent="0.3">
      <c r="A82" s="72">
        <v>82</v>
      </c>
      <c r="B82" s="73" t="s">
        <v>412</v>
      </c>
      <c r="C82" s="73" t="s">
        <v>413</v>
      </c>
      <c r="D82" s="73" t="s">
        <v>391</v>
      </c>
      <c r="E82" s="73" t="s">
        <v>90</v>
      </c>
      <c r="F82" s="73" t="s">
        <v>364</v>
      </c>
      <c r="G82" s="74">
        <v>32448</v>
      </c>
      <c r="H82" s="76">
        <v>17500</v>
      </c>
    </row>
    <row r="83" spans="1:8" x14ac:dyDescent="0.3">
      <c r="A83" s="72">
        <v>83</v>
      </c>
      <c r="B83" s="73" t="s">
        <v>496</v>
      </c>
      <c r="C83" s="73" t="s">
        <v>485</v>
      </c>
      <c r="D83" s="73" t="s">
        <v>397</v>
      </c>
      <c r="E83" s="73" t="s">
        <v>422</v>
      </c>
      <c r="F83" s="73" t="s">
        <v>463</v>
      </c>
      <c r="G83" s="74">
        <v>36221</v>
      </c>
      <c r="H83" s="76">
        <v>7000</v>
      </c>
    </row>
    <row r="84" spans="1:8" x14ac:dyDescent="0.3">
      <c r="A84" s="72">
        <v>84</v>
      </c>
      <c r="B84" s="73" t="s">
        <v>415</v>
      </c>
      <c r="C84" s="73" t="s">
        <v>416</v>
      </c>
      <c r="D84" s="73" t="s">
        <v>391</v>
      </c>
      <c r="E84" s="73" t="s">
        <v>90</v>
      </c>
      <c r="F84" s="73" t="s">
        <v>372</v>
      </c>
      <c r="G84" s="74">
        <v>36222</v>
      </c>
      <c r="H84" s="76">
        <v>7000</v>
      </c>
    </row>
    <row r="85" spans="1:8" x14ac:dyDescent="0.3">
      <c r="A85" s="72">
        <v>85</v>
      </c>
      <c r="B85" s="73" t="s">
        <v>497</v>
      </c>
      <c r="C85" s="73" t="s">
        <v>498</v>
      </c>
      <c r="D85" s="73" t="s">
        <v>391</v>
      </c>
      <c r="E85" s="73" t="s">
        <v>422</v>
      </c>
      <c r="F85" s="73" t="s">
        <v>436</v>
      </c>
      <c r="G85" s="74">
        <v>35809</v>
      </c>
      <c r="H85" s="76">
        <v>7000</v>
      </c>
    </row>
    <row r="86" spans="1:8" x14ac:dyDescent="0.3">
      <c r="A86" s="72">
        <v>86</v>
      </c>
      <c r="B86" s="73" t="s">
        <v>499</v>
      </c>
      <c r="C86" s="73" t="s">
        <v>377</v>
      </c>
      <c r="D86" s="73" t="s">
        <v>397</v>
      </c>
      <c r="E86" s="73" t="s">
        <v>422</v>
      </c>
      <c r="F86" s="73" t="s">
        <v>442</v>
      </c>
      <c r="G86" s="74">
        <v>35810</v>
      </c>
      <c r="H86" s="76">
        <v>17500</v>
      </c>
    </row>
    <row r="87" spans="1:8" x14ac:dyDescent="0.3">
      <c r="A87" s="72">
        <v>87</v>
      </c>
      <c r="B87" s="73" t="s">
        <v>537</v>
      </c>
      <c r="C87" s="73" t="s">
        <v>538</v>
      </c>
      <c r="D87" s="73" t="s">
        <v>367</v>
      </c>
      <c r="E87" s="73" t="s">
        <v>506</v>
      </c>
      <c r="F87" s="73" t="s">
        <v>507</v>
      </c>
      <c r="G87" s="74">
        <v>35811</v>
      </c>
      <c r="H87" s="76">
        <v>17500</v>
      </c>
    </row>
    <row r="88" spans="1:8" x14ac:dyDescent="0.3">
      <c r="A88" s="72">
        <v>88</v>
      </c>
      <c r="B88" s="73" t="s">
        <v>577</v>
      </c>
      <c r="C88" s="73" t="s">
        <v>578</v>
      </c>
      <c r="D88" s="73" t="s">
        <v>367</v>
      </c>
      <c r="E88" s="73" t="s">
        <v>547</v>
      </c>
      <c r="F88" s="73" t="s">
        <v>548</v>
      </c>
      <c r="G88" s="74">
        <v>35794</v>
      </c>
      <c r="H88" s="76">
        <v>7875</v>
      </c>
    </row>
    <row r="89" spans="1:8" x14ac:dyDescent="0.3">
      <c r="A89" s="72">
        <v>89</v>
      </c>
      <c r="B89" s="73" t="s">
        <v>500</v>
      </c>
      <c r="C89" s="73" t="s">
        <v>501</v>
      </c>
      <c r="D89" s="73" t="s">
        <v>363</v>
      </c>
      <c r="E89" s="73" t="s">
        <v>422</v>
      </c>
      <c r="F89" s="73" t="s">
        <v>463</v>
      </c>
      <c r="G89" s="74">
        <v>28907</v>
      </c>
      <c r="H89" s="76">
        <v>22750</v>
      </c>
    </row>
    <row r="90" spans="1:8" x14ac:dyDescent="0.3">
      <c r="A90" s="72">
        <v>90</v>
      </c>
      <c r="B90" s="73" t="s">
        <v>502</v>
      </c>
      <c r="C90" s="73" t="s">
        <v>468</v>
      </c>
      <c r="D90" s="73" t="s">
        <v>391</v>
      </c>
      <c r="E90" s="73" t="s">
        <v>422</v>
      </c>
      <c r="F90" s="73" t="s">
        <v>447</v>
      </c>
      <c r="G90" s="74">
        <v>29226</v>
      </c>
      <c r="H90" s="76">
        <v>22750</v>
      </c>
    </row>
    <row r="91" spans="1:8" x14ac:dyDescent="0.3">
      <c r="A91" s="72">
        <v>91</v>
      </c>
      <c r="B91" s="73" t="s">
        <v>417</v>
      </c>
      <c r="C91" s="73" t="s">
        <v>418</v>
      </c>
      <c r="D91" s="73" t="s">
        <v>363</v>
      </c>
      <c r="E91" s="73" t="s">
        <v>90</v>
      </c>
      <c r="F91" s="73" t="s">
        <v>372</v>
      </c>
      <c r="G91" s="74">
        <v>29172</v>
      </c>
      <c r="H91" s="76">
        <v>22750</v>
      </c>
    </row>
    <row r="92" spans="1:8" x14ac:dyDescent="0.3">
      <c r="A92" s="72">
        <v>92</v>
      </c>
      <c r="B92" s="73" t="s">
        <v>201</v>
      </c>
      <c r="C92" s="73" t="s">
        <v>419</v>
      </c>
      <c r="D92" s="73" t="s">
        <v>367</v>
      </c>
      <c r="E92" s="73" t="s">
        <v>90</v>
      </c>
      <c r="F92" s="73" t="s">
        <v>398</v>
      </c>
      <c r="G92" s="74">
        <v>32603</v>
      </c>
      <c r="H92" s="76">
        <v>17325</v>
      </c>
    </row>
    <row r="93" spans="1:8" x14ac:dyDescent="0.3">
      <c r="A93" s="72">
        <v>93</v>
      </c>
      <c r="B93" s="73" t="s">
        <v>539</v>
      </c>
      <c r="C93" s="73" t="s">
        <v>374</v>
      </c>
      <c r="D93" s="73" t="s">
        <v>363</v>
      </c>
      <c r="E93" s="73" t="s">
        <v>506</v>
      </c>
      <c r="F93" s="73" t="s">
        <v>515</v>
      </c>
      <c r="G93" s="74">
        <v>32604</v>
      </c>
      <c r="H93" s="76">
        <v>17325</v>
      </c>
    </row>
    <row r="94" spans="1:8" x14ac:dyDescent="0.3">
      <c r="A94" s="72">
        <v>94</v>
      </c>
      <c r="B94" s="73" t="s">
        <v>579</v>
      </c>
      <c r="C94" s="73" t="s">
        <v>580</v>
      </c>
      <c r="D94" s="73" t="s">
        <v>367</v>
      </c>
      <c r="E94" s="73" t="s">
        <v>547</v>
      </c>
      <c r="F94" s="73" t="s">
        <v>561</v>
      </c>
      <c r="G94" s="74">
        <v>32605</v>
      </c>
      <c r="H94" s="76">
        <v>17325</v>
      </c>
    </row>
    <row r="95" spans="1:8" x14ac:dyDescent="0.3">
      <c r="A95" s="72">
        <v>95</v>
      </c>
      <c r="B95" s="73" t="s">
        <v>540</v>
      </c>
      <c r="C95" s="73" t="s">
        <v>459</v>
      </c>
      <c r="D95" s="73" t="s">
        <v>367</v>
      </c>
      <c r="E95" s="73" t="s">
        <v>506</v>
      </c>
      <c r="F95" s="73" t="s">
        <v>515</v>
      </c>
      <c r="G95" s="74">
        <v>32606</v>
      </c>
      <c r="H95" s="76">
        <v>17325</v>
      </c>
    </row>
    <row r="96" spans="1:8" x14ac:dyDescent="0.3">
      <c r="A96" s="72">
        <v>96</v>
      </c>
      <c r="B96" s="73" t="s">
        <v>425</v>
      </c>
      <c r="C96" s="73" t="s">
        <v>325</v>
      </c>
      <c r="D96" s="73" t="s">
        <v>391</v>
      </c>
      <c r="E96" s="73" t="s">
        <v>547</v>
      </c>
      <c r="F96" s="73" t="s">
        <v>568</v>
      </c>
      <c r="G96" s="74">
        <v>32607</v>
      </c>
      <c r="H96" s="76">
        <v>17325</v>
      </c>
    </row>
    <row r="97" spans="1:8" x14ac:dyDescent="0.3">
      <c r="A97" s="72">
        <v>97</v>
      </c>
      <c r="B97" s="73" t="s">
        <v>541</v>
      </c>
      <c r="C97" s="73" t="s">
        <v>542</v>
      </c>
      <c r="D97" s="73" t="s">
        <v>391</v>
      </c>
      <c r="E97" s="73" t="s">
        <v>506</v>
      </c>
      <c r="F97" s="73" t="s">
        <v>531</v>
      </c>
      <c r="G97" s="74">
        <v>32608</v>
      </c>
      <c r="H97" s="76">
        <v>17325</v>
      </c>
    </row>
    <row r="98" spans="1:8" x14ac:dyDescent="0.3">
      <c r="A98" s="72">
        <v>98</v>
      </c>
      <c r="B98" s="73" t="s">
        <v>503</v>
      </c>
      <c r="C98" s="73" t="s">
        <v>504</v>
      </c>
      <c r="D98" s="73" t="s">
        <v>397</v>
      </c>
      <c r="E98" s="73" t="s">
        <v>422</v>
      </c>
      <c r="F98" s="73" t="s">
        <v>385</v>
      </c>
      <c r="G98" s="74">
        <v>32609</v>
      </c>
      <c r="H98" s="76">
        <v>17325</v>
      </c>
    </row>
    <row r="99" spans="1:8" x14ac:dyDescent="0.3">
      <c r="A99" s="72">
        <v>99</v>
      </c>
      <c r="B99" s="73" t="s">
        <v>581</v>
      </c>
      <c r="C99" s="73" t="s">
        <v>485</v>
      </c>
      <c r="D99" s="73" t="s">
        <v>371</v>
      </c>
      <c r="E99" s="73" t="s">
        <v>547</v>
      </c>
      <c r="F99" s="73" t="s">
        <v>559</v>
      </c>
      <c r="G99" s="74">
        <v>35794</v>
      </c>
      <c r="H99" s="76">
        <v>10500</v>
      </c>
    </row>
    <row r="100" spans="1:8" x14ac:dyDescent="0.3">
      <c r="A100" s="72">
        <v>100</v>
      </c>
      <c r="B100" s="73" t="s">
        <v>543</v>
      </c>
      <c r="C100" s="73" t="s">
        <v>544</v>
      </c>
      <c r="D100" s="73" t="s">
        <v>371</v>
      </c>
      <c r="E100" s="73" t="s">
        <v>506</v>
      </c>
      <c r="F100" s="73" t="s">
        <v>507</v>
      </c>
      <c r="G100" s="74">
        <v>36193</v>
      </c>
      <c r="H100" s="76">
        <v>7875</v>
      </c>
    </row>
    <row r="101" spans="1:8" x14ac:dyDescent="0.3">
      <c r="A101" s="72">
        <v>101</v>
      </c>
      <c r="B101" s="73" t="s">
        <v>956</v>
      </c>
      <c r="C101" s="73" t="s">
        <v>957</v>
      </c>
      <c r="D101" s="73" t="s">
        <v>954</v>
      </c>
      <c r="E101" s="73" t="s">
        <v>90</v>
      </c>
      <c r="F101" s="73" t="s">
        <v>364</v>
      </c>
      <c r="G101" s="74">
        <v>28126</v>
      </c>
      <c r="H101" s="76">
        <v>17500</v>
      </c>
    </row>
  </sheetData>
  <hyperlinks>
    <hyperlink ref="K1" location="Home!A1" display="Home" xr:uid="{7EC02257-B59B-40AE-933D-0FDB2E509EA8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7DDB-5635-4F3B-AFF5-2E700FFBA053}">
  <dimension ref="A1:G15"/>
  <sheetViews>
    <sheetView workbookViewId="0">
      <selection activeCell="A7" sqref="A7"/>
    </sheetView>
  </sheetViews>
  <sheetFormatPr defaultRowHeight="18.75" x14ac:dyDescent="0.3"/>
  <cols>
    <col min="1" max="1" width="11.5" bestFit="1" customWidth="1"/>
  </cols>
  <sheetData>
    <row r="1" spans="1:7" x14ac:dyDescent="0.3">
      <c r="A1" t="s">
        <v>10</v>
      </c>
    </row>
    <row r="2" spans="1:7" ht="19.5" thickBot="1" x14ac:dyDescent="0.35">
      <c r="A2" s="37" t="s">
        <v>955</v>
      </c>
    </row>
    <row r="3" spans="1:7" ht="24" thickBot="1" x14ac:dyDescent="0.4">
      <c r="A3" s="151" t="s">
        <v>958</v>
      </c>
      <c r="B3" s="152"/>
      <c r="C3" s="152"/>
      <c r="D3" s="152"/>
      <c r="E3" s="152"/>
      <c r="F3" s="152"/>
      <c r="G3" s="153"/>
    </row>
    <row r="4" spans="1:7" ht="19.5" thickTop="1" x14ac:dyDescent="0.3">
      <c r="A4" s="77"/>
      <c r="B4" s="78"/>
      <c r="C4" s="78"/>
      <c r="D4" s="78"/>
      <c r="E4" s="78"/>
      <c r="F4" s="78"/>
      <c r="G4" s="79"/>
    </row>
    <row r="5" spans="1:7" ht="19.5" thickBot="1" x14ac:dyDescent="0.35">
      <c r="A5" s="80" t="s">
        <v>959</v>
      </c>
      <c r="B5" s="81"/>
      <c r="C5" s="82"/>
      <c r="D5" s="78"/>
      <c r="E5" s="78"/>
      <c r="F5" s="78"/>
      <c r="G5" s="79"/>
    </row>
    <row r="6" spans="1:7" ht="19.5" thickTop="1" x14ac:dyDescent="0.3">
      <c r="A6" s="80"/>
      <c r="B6" s="83"/>
      <c r="C6" s="78"/>
      <c r="D6" s="78"/>
      <c r="E6" s="78"/>
      <c r="F6" s="78"/>
      <c r="G6" s="79"/>
    </row>
    <row r="7" spans="1:7" ht="19.5" thickBot="1" x14ac:dyDescent="0.35">
      <c r="A7" s="80" t="s">
        <v>596</v>
      </c>
      <c r="B7" s="84"/>
      <c r="C7" s="82"/>
      <c r="D7" s="78"/>
      <c r="E7" s="78"/>
      <c r="F7" s="78"/>
      <c r="G7" s="79"/>
    </row>
    <row r="8" spans="1:7" ht="19.5" thickTop="1" x14ac:dyDescent="0.3">
      <c r="A8" s="80"/>
      <c r="B8" s="83"/>
      <c r="C8" s="78"/>
      <c r="D8" s="78"/>
      <c r="E8" s="78"/>
      <c r="F8" s="78"/>
      <c r="G8" s="79"/>
    </row>
    <row r="9" spans="1:7" ht="19.5" thickBot="1" x14ac:dyDescent="0.35">
      <c r="A9" s="80" t="s">
        <v>84</v>
      </c>
      <c r="B9" s="84"/>
      <c r="C9" s="82"/>
      <c r="D9" s="78"/>
      <c r="E9" s="78"/>
      <c r="F9" s="78"/>
      <c r="G9" s="79"/>
    </row>
    <row r="10" spans="1:7" ht="19.5" thickTop="1" x14ac:dyDescent="0.3">
      <c r="A10" s="80"/>
      <c r="B10" s="83"/>
      <c r="C10" s="78"/>
      <c r="D10" s="78"/>
      <c r="E10" s="78"/>
      <c r="F10" s="78"/>
      <c r="G10" s="79"/>
    </row>
    <row r="11" spans="1:7" ht="19.5" thickBot="1" x14ac:dyDescent="0.35">
      <c r="A11" s="80" t="s">
        <v>664</v>
      </c>
      <c r="B11" s="84"/>
      <c r="C11" s="82"/>
      <c r="D11" s="78"/>
      <c r="E11" s="78"/>
      <c r="F11" s="78"/>
      <c r="G11" s="79"/>
    </row>
    <row r="12" spans="1:7" ht="19.5" thickTop="1" x14ac:dyDescent="0.3">
      <c r="A12" s="80"/>
      <c r="B12" s="83"/>
      <c r="C12" s="78"/>
      <c r="D12" s="78"/>
      <c r="E12" s="78"/>
      <c r="F12" s="78"/>
      <c r="G12" s="79"/>
    </row>
    <row r="13" spans="1:7" ht="19.5" thickBot="1" x14ac:dyDescent="0.35">
      <c r="A13" s="80" t="s">
        <v>252</v>
      </c>
      <c r="B13" s="85"/>
      <c r="C13" s="82"/>
      <c r="D13" s="78"/>
      <c r="E13" s="78"/>
      <c r="F13" s="78"/>
      <c r="G13" s="79"/>
    </row>
    <row r="14" spans="1:7" ht="19.5" thickTop="1" x14ac:dyDescent="0.3">
      <c r="A14" s="77"/>
      <c r="B14" s="78"/>
      <c r="C14" s="78"/>
      <c r="D14" s="78"/>
      <c r="E14" s="78"/>
      <c r="F14" s="78"/>
      <c r="G14" s="79"/>
    </row>
    <row r="15" spans="1:7" ht="19.5" thickBot="1" x14ac:dyDescent="0.35">
      <c r="A15" s="86"/>
      <c r="B15" s="87"/>
      <c r="C15" s="87"/>
      <c r="D15" s="87"/>
      <c r="E15" s="87"/>
      <c r="F15" s="87"/>
      <c r="G15" s="88"/>
    </row>
  </sheetData>
  <mergeCells count="1">
    <mergeCell ref="A3:G3"/>
  </mergeCells>
  <hyperlinks>
    <hyperlink ref="A2" r:id="rId1" xr:uid="{32BFE0D2-D4B5-410B-97AA-7D63E00901E5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9E4C-0F5C-4869-A7C5-4CD1B83A09A8}">
  <dimension ref="A5"/>
  <sheetViews>
    <sheetView topLeftCell="B29" zoomScale="80" zoomScaleNormal="80" workbookViewId="0">
      <selection activeCell="R44" sqref="R44"/>
    </sheetView>
  </sheetViews>
  <sheetFormatPr defaultColWidth="8.796875" defaultRowHeight="18.75" x14ac:dyDescent="0.3"/>
  <cols>
    <col min="1" max="1" width="10.3984375" style="90" bestFit="1" customWidth="1"/>
    <col min="2" max="16384" width="8.796875" style="90"/>
  </cols>
  <sheetData>
    <row r="5" spans="1:1" x14ac:dyDescent="0.3">
      <c r="A5" s="89" t="s">
        <v>955</v>
      </c>
    </row>
  </sheetData>
  <hyperlinks>
    <hyperlink ref="A5" location="Home!A1" display="Home" xr:uid="{64BE6EBD-D432-40B0-978B-55ED7A1EB915}"/>
  </hyperlink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1C96-B7A6-446C-9BD3-B762D89610D3}">
  <dimension ref="A1:U103"/>
  <sheetViews>
    <sheetView workbookViewId="0">
      <selection activeCell="L16" sqref="L16"/>
    </sheetView>
  </sheetViews>
  <sheetFormatPr defaultRowHeight="18.75" x14ac:dyDescent="0.3"/>
  <cols>
    <col min="1" max="1" width="10.3984375" bestFit="1" customWidth="1"/>
    <col min="2" max="2" width="14.3984375" customWidth="1"/>
  </cols>
  <sheetData>
    <row r="1" spans="1:21" x14ac:dyDescent="0.3">
      <c r="A1" s="89"/>
      <c r="B1" s="89" t="s">
        <v>955</v>
      </c>
    </row>
    <row r="3" spans="1:21" ht="19.5" thickBot="1" x14ac:dyDescent="0.35">
      <c r="A3" s="67" t="s">
        <v>356</v>
      </c>
      <c r="B3" s="67" t="s">
        <v>317</v>
      </c>
      <c r="C3" s="67" t="s">
        <v>319</v>
      </c>
      <c r="D3" s="67" t="s">
        <v>357</v>
      </c>
      <c r="E3" s="67" t="s">
        <v>84</v>
      </c>
      <c r="F3" s="67" t="s">
        <v>358</v>
      </c>
      <c r="G3" s="67" t="s">
        <v>359</v>
      </c>
      <c r="H3" s="67" t="s">
        <v>252</v>
      </c>
      <c r="K3" s="127" t="s">
        <v>748</v>
      </c>
      <c r="L3" s="127" t="s">
        <v>960</v>
      </c>
      <c r="M3" s="127" t="s">
        <v>961</v>
      </c>
      <c r="N3" s="127" t="s">
        <v>962</v>
      </c>
      <c r="O3" s="127" t="s">
        <v>963</v>
      </c>
      <c r="Q3" t="s">
        <v>748</v>
      </c>
      <c r="R3" t="s">
        <v>960</v>
      </c>
      <c r="S3" t="s">
        <v>961</v>
      </c>
      <c r="T3" t="s">
        <v>962</v>
      </c>
      <c r="U3" t="s">
        <v>963</v>
      </c>
    </row>
    <row r="4" spans="1:21" x14ac:dyDescent="0.3">
      <c r="A4" s="68">
        <v>2</v>
      </c>
      <c r="B4" s="69" t="s">
        <v>361</v>
      </c>
      <c r="C4" s="69" t="s">
        <v>362</v>
      </c>
      <c r="D4" s="69" t="s">
        <v>363</v>
      </c>
      <c r="E4" s="69" t="s">
        <v>221</v>
      </c>
      <c r="F4" s="69" t="s">
        <v>364</v>
      </c>
      <c r="G4" s="70">
        <v>28126</v>
      </c>
      <c r="H4" s="71">
        <v>17500</v>
      </c>
      <c r="K4" s="128" t="s">
        <v>964</v>
      </c>
      <c r="L4" s="129">
        <v>99</v>
      </c>
      <c r="M4" s="129">
        <v>75</v>
      </c>
      <c r="N4" s="129">
        <v>69</v>
      </c>
      <c r="O4" s="129">
        <v>75</v>
      </c>
      <c r="Q4" t="s">
        <v>964</v>
      </c>
      <c r="R4">
        <v>99</v>
      </c>
      <c r="S4">
        <v>75</v>
      </c>
      <c r="T4">
        <v>69</v>
      </c>
      <c r="U4">
        <v>75</v>
      </c>
    </row>
    <row r="5" spans="1:21" x14ac:dyDescent="0.3">
      <c r="A5" s="68">
        <v>10</v>
      </c>
      <c r="B5" s="69" t="s">
        <v>365</v>
      </c>
      <c r="C5" s="69" t="s">
        <v>366</v>
      </c>
      <c r="D5" s="69" t="s">
        <v>367</v>
      </c>
      <c r="E5" s="69" t="s">
        <v>221</v>
      </c>
      <c r="F5" s="69" t="s">
        <v>368</v>
      </c>
      <c r="G5" s="70">
        <v>28326</v>
      </c>
      <c r="H5" s="71">
        <v>15750</v>
      </c>
      <c r="K5" s="128" t="s">
        <v>321</v>
      </c>
      <c r="L5" s="129">
        <v>66</v>
      </c>
      <c r="M5" s="129">
        <v>96</v>
      </c>
      <c r="N5" s="129">
        <v>52</v>
      </c>
      <c r="O5" s="129">
        <v>88</v>
      </c>
      <c r="Q5" t="s">
        <v>321</v>
      </c>
      <c r="R5">
        <v>66</v>
      </c>
      <c r="S5">
        <v>96</v>
      </c>
      <c r="T5">
        <v>52</v>
      </c>
      <c r="U5">
        <v>88</v>
      </c>
    </row>
    <row r="6" spans="1:21" x14ac:dyDescent="0.3">
      <c r="A6" s="68">
        <v>13</v>
      </c>
      <c r="B6" s="69" t="s">
        <v>369</v>
      </c>
      <c r="C6" s="69" t="s">
        <v>370</v>
      </c>
      <c r="D6" s="69" t="s">
        <v>371</v>
      </c>
      <c r="E6" s="69" t="s">
        <v>221</v>
      </c>
      <c r="F6" s="69" t="s">
        <v>372</v>
      </c>
      <c r="G6" s="70">
        <v>31027</v>
      </c>
      <c r="H6" s="71">
        <v>19250</v>
      </c>
      <c r="K6" s="128" t="s">
        <v>965</v>
      </c>
      <c r="L6" s="129">
        <v>41</v>
      </c>
      <c r="M6" s="129">
        <v>75</v>
      </c>
      <c r="N6" s="129">
        <v>41</v>
      </c>
      <c r="O6" s="129">
        <v>52</v>
      </c>
      <c r="Q6" t="s">
        <v>965</v>
      </c>
      <c r="R6">
        <v>41</v>
      </c>
      <c r="S6">
        <v>75</v>
      </c>
      <c r="T6">
        <v>41</v>
      </c>
      <c r="U6">
        <v>52</v>
      </c>
    </row>
    <row r="7" spans="1:21" x14ac:dyDescent="0.3">
      <c r="A7" s="68">
        <v>17</v>
      </c>
      <c r="B7" s="69" t="s">
        <v>373</v>
      </c>
      <c r="C7" s="69" t="s">
        <v>374</v>
      </c>
      <c r="D7" s="69" t="s">
        <v>375</v>
      </c>
      <c r="E7" s="69" t="s">
        <v>221</v>
      </c>
      <c r="F7" s="69" t="s">
        <v>364</v>
      </c>
      <c r="G7" s="70">
        <v>30376</v>
      </c>
      <c r="H7" s="71">
        <v>15750</v>
      </c>
      <c r="K7" s="128" t="s">
        <v>966</v>
      </c>
      <c r="L7" s="129">
        <v>23</v>
      </c>
      <c r="M7" s="129">
        <v>52</v>
      </c>
      <c r="N7" s="129">
        <v>11</v>
      </c>
      <c r="O7" s="129">
        <v>42</v>
      </c>
      <c r="Q7" t="s">
        <v>966</v>
      </c>
      <c r="R7">
        <v>23</v>
      </c>
      <c r="S7">
        <v>52</v>
      </c>
      <c r="T7">
        <v>11</v>
      </c>
      <c r="U7">
        <v>42</v>
      </c>
    </row>
    <row r="8" spans="1:21" x14ac:dyDescent="0.3">
      <c r="A8" s="68">
        <v>21</v>
      </c>
      <c r="B8" s="69" t="s">
        <v>376</v>
      </c>
      <c r="C8" s="69" t="s">
        <v>377</v>
      </c>
      <c r="D8" s="69" t="s">
        <v>367</v>
      </c>
      <c r="E8" s="69" t="s">
        <v>221</v>
      </c>
      <c r="F8" s="69" t="s">
        <v>378</v>
      </c>
      <c r="G8" s="70">
        <v>36317</v>
      </c>
      <c r="H8" s="71">
        <v>7875</v>
      </c>
    </row>
    <row r="9" spans="1:21" x14ac:dyDescent="0.3">
      <c r="A9" s="68">
        <v>26</v>
      </c>
      <c r="B9" s="69" t="s">
        <v>379</v>
      </c>
      <c r="C9" s="69" t="s">
        <v>380</v>
      </c>
      <c r="D9" s="69" t="s">
        <v>363</v>
      </c>
      <c r="E9" s="69" t="s">
        <v>221</v>
      </c>
      <c r="F9" s="69" t="s">
        <v>364</v>
      </c>
      <c r="G9" s="70">
        <v>30225</v>
      </c>
      <c r="H9" s="71">
        <v>19250</v>
      </c>
    </row>
    <row r="10" spans="1:21" x14ac:dyDescent="0.3">
      <c r="A10" s="68">
        <v>30</v>
      </c>
      <c r="B10" s="69" t="s">
        <v>382</v>
      </c>
      <c r="C10" s="69" t="s">
        <v>383</v>
      </c>
      <c r="D10" s="69" t="s">
        <v>384</v>
      </c>
      <c r="E10" s="69" t="s">
        <v>221</v>
      </c>
      <c r="F10" s="69" t="s">
        <v>378</v>
      </c>
      <c r="G10" s="70">
        <v>32435</v>
      </c>
      <c r="H10" s="71">
        <v>14175</v>
      </c>
    </row>
    <row r="11" spans="1:21" x14ac:dyDescent="0.3">
      <c r="A11" s="68">
        <v>41</v>
      </c>
      <c r="B11" s="69" t="s">
        <v>386</v>
      </c>
      <c r="C11" s="69"/>
      <c r="D11" s="69" t="s">
        <v>375</v>
      </c>
      <c r="E11" s="69" t="s">
        <v>221</v>
      </c>
      <c r="F11" s="69" t="s">
        <v>368</v>
      </c>
      <c r="G11" s="70">
        <v>35595</v>
      </c>
      <c r="H11" s="71">
        <v>7875</v>
      </c>
    </row>
    <row r="12" spans="1:21" x14ac:dyDescent="0.3">
      <c r="A12" s="68">
        <v>42</v>
      </c>
      <c r="B12" s="69" t="s">
        <v>389</v>
      </c>
      <c r="C12" s="69" t="s">
        <v>390</v>
      </c>
      <c r="D12" s="69" t="s">
        <v>391</v>
      </c>
      <c r="E12" s="69" t="s">
        <v>221</v>
      </c>
      <c r="F12" s="69" t="s">
        <v>372</v>
      </c>
      <c r="G12" s="70">
        <v>33510</v>
      </c>
      <c r="H12" s="71">
        <v>13300</v>
      </c>
    </row>
    <row r="13" spans="1:21" x14ac:dyDescent="0.3">
      <c r="A13" s="68">
        <v>44</v>
      </c>
      <c r="B13" s="69" t="s">
        <v>393</v>
      </c>
      <c r="C13" s="69" t="s">
        <v>394</v>
      </c>
      <c r="D13" s="69" t="s">
        <v>384</v>
      </c>
      <c r="E13" s="69" t="s">
        <v>221</v>
      </c>
      <c r="F13" s="69" t="s">
        <v>364</v>
      </c>
      <c r="G13" s="70">
        <v>33194</v>
      </c>
      <c r="H13" s="71">
        <v>13825</v>
      </c>
    </row>
    <row r="14" spans="1:21" x14ac:dyDescent="0.3">
      <c r="A14" s="68">
        <v>54</v>
      </c>
      <c r="B14" s="69" t="s">
        <v>395</v>
      </c>
      <c r="C14" s="69" t="s">
        <v>396</v>
      </c>
      <c r="D14" s="69" t="s">
        <v>397</v>
      </c>
      <c r="E14" s="69" t="s">
        <v>221</v>
      </c>
      <c r="F14" s="69" t="s">
        <v>398</v>
      </c>
      <c r="G14" s="70">
        <v>34761</v>
      </c>
      <c r="H14" s="71">
        <v>15750</v>
      </c>
    </row>
    <row r="15" spans="1:21" x14ac:dyDescent="0.3">
      <c r="A15" s="68">
        <v>55</v>
      </c>
      <c r="B15" s="69"/>
      <c r="C15" s="69" t="s">
        <v>400</v>
      </c>
      <c r="D15" s="69" t="s">
        <v>397</v>
      </c>
      <c r="E15" s="69" t="s">
        <v>221</v>
      </c>
      <c r="F15" s="69" t="s">
        <v>401</v>
      </c>
      <c r="G15" s="70">
        <v>31717</v>
      </c>
      <c r="H15" s="71">
        <v>15750</v>
      </c>
    </row>
    <row r="16" spans="1:21" x14ac:dyDescent="0.3">
      <c r="A16" s="68">
        <v>65</v>
      </c>
      <c r="B16" s="69" t="s">
        <v>402</v>
      </c>
      <c r="C16" s="69" t="s">
        <v>403</v>
      </c>
      <c r="D16" s="69" t="s">
        <v>397</v>
      </c>
      <c r="E16" s="69"/>
      <c r="F16" s="69" t="s">
        <v>372</v>
      </c>
      <c r="G16" s="70">
        <v>32442</v>
      </c>
      <c r="H16" s="71">
        <v>17500</v>
      </c>
    </row>
    <row r="17" spans="1:8" x14ac:dyDescent="0.3">
      <c r="A17" s="68">
        <v>70</v>
      </c>
      <c r="B17" s="69" t="s">
        <v>404</v>
      </c>
      <c r="C17" s="69" t="s">
        <v>405</v>
      </c>
      <c r="D17" s="69" t="s">
        <v>367</v>
      </c>
      <c r="E17" s="69" t="s">
        <v>221</v>
      </c>
      <c r="F17" s="69" t="s">
        <v>372</v>
      </c>
      <c r="G17" s="70">
        <v>34762</v>
      </c>
      <c r="H17" s="71">
        <v>14000</v>
      </c>
    </row>
    <row r="18" spans="1:8" x14ac:dyDescent="0.3">
      <c r="A18" s="68">
        <v>74</v>
      </c>
      <c r="B18" s="69" t="s">
        <v>406</v>
      </c>
      <c r="C18" s="69" t="s">
        <v>407</v>
      </c>
      <c r="D18" s="69" t="s">
        <v>363</v>
      </c>
      <c r="E18" s="69" t="s">
        <v>221</v>
      </c>
      <c r="F18" s="69" t="s">
        <v>368</v>
      </c>
      <c r="G18" s="70">
        <v>32440</v>
      </c>
      <c r="H18" s="71">
        <v>17500</v>
      </c>
    </row>
    <row r="19" spans="1:8" x14ac:dyDescent="0.3">
      <c r="A19" s="68">
        <v>75</v>
      </c>
      <c r="B19" s="69" t="s">
        <v>409</v>
      </c>
      <c r="C19" s="69" t="s">
        <v>410</v>
      </c>
      <c r="D19" s="69" t="s">
        <v>375</v>
      </c>
      <c r="E19" s="69" t="s">
        <v>221</v>
      </c>
      <c r="F19" s="69" t="s">
        <v>372</v>
      </c>
      <c r="G19" s="70">
        <v>32441</v>
      </c>
      <c r="H19" s="71">
        <v>17500</v>
      </c>
    </row>
    <row r="20" spans="1:8" x14ac:dyDescent="0.3">
      <c r="A20" s="68">
        <v>82</v>
      </c>
      <c r="B20" s="69" t="s">
        <v>412</v>
      </c>
      <c r="C20" s="69" t="s">
        <v>413</v>
      </c>
      <c r="D20" s="69" t="s">
        <v>391</v>
      </c>
      <c r="E20" s="69" t="s">
        <v>221</v>
      </c>
      <c r="F20" s="69" t="s">
        <v>364</v>
      </c>
      <c r="G20" s="70">
        <v>32448</v>
      </c>
      <c r="H20" s="71">
        <v>17500</v>
      </c>
    </row>
    <row r="21" spans="1:8" x14ac:dyDescent="0.3">
      <c r="A21" s="68">
        <v>84</v>
      </c>
      <c r="B21" s="69" t="s">
        <v>415</v>
      </c>
      <c r="C21" s="69" t="s">
        <v>416</v>
      </c>
      <c r="D21" s="69" t="s">
        <v>391</v>
      </c>
      <c r="E21" s="69" t="s">
        <v>221</v>
      </c>
      <c r="F21" s="69" t="s">
        <v>372</v>
      </c>
      <c r="G21" s="70">
        <v>36222</v>
      </c>
      <c r="H21" s="71">
        <v>7000</v>
      </c>
    </row>
    <row r="22" spans="1:8" x14ac:dyDescent="0.3">
      <c r="A22" s="68">
        <v>91</v>
      </c>
      <c r="B22" s="69" t="s">
        <v>417</v>
      </c>
      <c r="C22" s="69" t="s">
        <v>418</v>
      </c>
      <c r="D22" s="69" t="s">
        <v>363</v>
      </c>
      <c r="E22" s="69" t="s">
        <v>221</v>
      </c>
      <c r="F22" s="69" t="s">
        <v>372</v>
      </c>
      <c r="G22" s="70">
        <v>29172</v>
      </c>
      <c r="H22" s="71">
        <v>22750</v>
      </c>
    </row>
    <row r="23" spans="1:8" x14ac:dyDescent="0.3">
      <c r="A23" s="68">
        <v>92</v>
      </c>
      <c r="B23" s="69" t="s">
        <v>201</v>
      </c>
      <c r="C23" s="69" t="s">
        <v>419</v>
      </c>
      <c r="D23" s="69" t="s">
        <v>367</v>
      </c>
      <c r="E23" s="69" t="s">
        <v>221</v>
      </c>
      <c r="F23" s="69" t="s">
        <v>398</v>
      </c>
      <c r="G23" s="70">
        <v>32603</v>
      </c>
      <c r="H23" s="71">
        <v>17325</v>
      </c>
    </row>
    <row r="24" spans="1:8" x14ac:dyDescent="0.3">
      <c r="A24" s="68">
        <v>1</v>
      </c>
      <c r="B24" s="69" t="s">
        <v>420</v>
      </c>
      <c r="C24" s="69" t="s">
        <v>421</v>
      </c>
      <c r="D24" s="69" t="s">
        <v>363</v>
      </c>
      <c r="E24" s="69" t="s">
        <v>422</v>
      </c>
      <c r="F24" s="69" t="s">
        <v>423</v>
      </c>
      <c r="G24" s="70">
        <v>28126</v>
      </c>
      <c r="H24" s="71">
        <v>21875</v>
      </c>
    </row>
    <row r="25" spans="1:8" x14ac:dyDescent="0.3">
      <c r="A25" s="68">
        <v>4</v>
      </c>
      <c r="B25" s="69" t="s">
        <v>425</v>
      </c>
      <c r="C25" s="69" t="s">
        <v>426</v>
      </c>
      <c r="D25" s="69" t="s">
        <v>367</v>
      </c>
      <c r="E25" s="69" t="s">
        <v>422</v>
      </c>
      <c r="F25" s="69" t="s">
        <v>385</v>
      </c>
      <c r="G25" s="70">
        <v>29183</v>
      </c>
      <c r="H25" s="71">
        <v>12250</v>
      </c>
    </row>
    <row r="26" spans="1:8" x14ac:dyDescent="0.3">
      <c r="A26" s="68">
        <v>5</v>
      </c>
      <c r="B26" s="69" t="s">
        <v>427</v>
      </c>
      <c r="C26" s="69" t="s">
        <v>428</v>
      </c>
      <c r="D26" s="69" t="s">
        <v>391</v>
      </c>
      <c r="E26" s="69" t="s">
        <v>422</v>
      </c>
      <c r="F26" s="69" t="s">
        <v>429</v>
      </c>
      <c r="G26" s="70">
        <v>32755</v>
      </c>
      <c r="H26" s="71">
        <v>21000</v>
      </c>
    </row>
    <row r="27" spans="1:8" x14ac:dyDescent="0.3">
      <c r="A27" s="68">
        <v>6</v>
      </c>
      <c r="B27" s="69" t="s">
        <v>430</v>
      </c>
      <c r="C27" s="69" t="s">
        <v>431</v>
      </c>
      <c r="D27" s="69" t="s">
        <v>391</v>
      </c>
      <c r="E27" s="69" t="s">
        <v>422</v>
      </c>
      <c r="F27" s="69" t="s">
        <v>432</v>
      </c>
      <c r="G27" s="70">
        <v>32390</v>
      </c>
      <c r="H27" s="71">
        <v>12425</v>
      </c>
    </row>
    <row r="28" spans="1:8" x14ac:dyDescent="0.3">
      <c r="A28" s="68">
        <v>8</v>
      </c>
      <c r="B28" s="69" t="s">
        <v>434</v>
      </c>
      <c r="C28" s="69" t="s">
        <v>435</v>
      </c>
      <c r="D28" s="69" t="s">
        <v>391</v>
      </c>
      <c r="E28" s="69" t="s">
        <v>422</v>
      </c>
      <c r="F28" s="69" t="s">
        <v>436</v>
      </c>
      <c r="G28" s="70">
        <v>32755</v>
      </c>
      <c r="H28" s="71">
        <v>12425</v>
      </c>
    </row>
    <row r="29" spans="1:8" x14ac:dyDescent="0.3">
      <c r="A29" s="68">
        <v>9</v>
      </c>
      <c r="B29" s="69" t="s">
        <v>437</v>
      </c>
      <c r="C29" s="69" t="s">
        <v>438</v>
      </c>
      <c r="D29" s="69" t="s">
        <v>363</v>
      </c>
      <c r="E29" s="69" t="s">
        <v>422</v>
      </c>
      <c r="F29" s="69" t="s">
        <v>439</v>
      </c>
      <c r="G29" s="70">
        <v>36506</v>
      </c>
      <c r="H29" s="71">
        <v>14875</v>
      </c>
    </row>
    <row r="30" spans="1:8" x14ac:dyDescent="0.3">
      <c r="A30" s="68">
        <v>12</v>
      </c>
      <c r="B30" s="69" t="s">
        <v>440</v>
      </c>
      <c r="C30" s="69" t="s">
        <v>441</v>
      </c>
      <c r="D30" s="69" t="s">
        <v>375</v>
      </c>
      <c r="E30" s="69" t="s">
        <v>422</v>
      </c>
      <c r="F30" s="69" t="s">
        <v>442</v>
      </c>
      <c r="G30" s="70">
        <v>30376</v>
      </c>
      <c r="H30" s="71">
        <v>21000</v>
      </c>
    </row>
    <row r="31" spans="1:8" x14ac:dyDescent="0.3">
      <c r="A31" s="68">
        <v>15</v>
      </c>
      <c r="B31" s="69" t="s">
        <v>443</v>
      </c>
      <c r="C31" s="69" t="s">
        <v>444</v>
      </c>
      <c r="D31" s="69" t="s">
        <v>384</v>
      </c>
      <c r="E31" s="69" t="s">
        <v>422</v>
      </c>
      <c r="F31" s="69" t="s">
        <v>442</v>
      </c>
      <c r="G31" s="70">
        <v>31029</v>
      </c>
      <c r="H31" s="71">
        <v>14875</v>
      </c>
    </row>
    <row r="32" spans="1:8" x14ac:dyDescent="0.3">
      <c r="A32" s="68">
        <v>16</v>
      </c>
      <c r="B32" s="69" t="s">
        <v>445</v>
      </c>
      <c r="C32" s="69" t="s">
        <v>446</v>
      </c>
      <c r="D32" s="69" t="s">
        <v>384</v>
      </c>
      <c r="E32" s="69" t="s">
        <v>422</v>
      </c>
      <c r="F32" s="69" t="s">
        <v>447</v>
      </c>
      <c r="G32" s="70">
        <v>31030</v>
      </c>
      <c r="H32" s="71">
        <v>14875</v>
      </c>
    </row>
    <row r="33" spans="1:8" x14ac:dyDescent="0.3">
      <c r="A33" s="68">
        <v>19</v>
      </c>
      <c r="B33" s="69" t="s">
        <v>448</v>
      </c>
      <c r="C33" s="69" t="s">
        <v>449</v>
      </c>
      <c r="D33" s="69" t="s">
        <v>367</v>
      </c>
      <c r="E33" s="69" t="s">
        <v>422</v>
      </c>
      <c r="F33" s="69" t="s">
        <v>432</v>
      </c>
      <c r="G33" s="70">
        <v>31637</v>
      </c>
      <c r="H33" s="71">
        <v>10500</v>
      </c>
    </row>
    <row r="34" spans="1:8" x14ac:dyDescent="0.3">
      <c r="A34" s="68">
        <v>20</v>
      </c>
      <c r="B34" s="69" t="s">
        <v>450</v>
      </c>
      <c r="C34" s="69" t="s">
        <v>451</v>
      </c>
      <c r="D34" s="69" t="s">
        <v>367</v>
      </c>
      <c r="E34" s="69" t="s">
        <v>422</v>
      </c>
      <c r="F34" s="69" t="s">
        <v>447</v>
      </c>
      <c r="G34" s="70">
        <v>36316</v>
      </c>
      <c r="H34" s="71">
        <v>5950</v>
      </c>
    </row>
    <row r="35" spans="1:8" x14ac:dyDescent="0.3">
      <c r="A35" s="68">
        <v>29</v>
      </c>
      <c r="B35" s="69" t="s">
        <v>452</v>
      </c>
      <c r="C35" s="69" t="s">
        <v>453</v>
      </c>
      <c r="D35" s="69" t="s">
        <v>375</v>
      </c>
      <c r="E35" s="69" t="s">
        <v>422</v>
      </c>
      <c r="F35" s="69" t="s">
        <v>447</v>
      </c>
      <c r="G35" s="70">
        <v>35189</v>
      </c>
      <c r="H35" s="71">
        <v>9625</v>
      </c>
    </row>
    <row r="36" spans="1:8" x14ac:dyDescent="0.3">
      <c r="A36" s="68">
        <v>31</v>
      </c>
      <c r="B36" s="69" t="s">
        <v>454</v>
      </c>
      <c r="C36" s="69" t="s">
        <v>455</v>
      </c>
      <c r="D36" s="69" t="s">
        <v>391</v>
      </c>
      <c r="E36" s="69" t="s">
        <v>422</v>
      </c>
      <c r="F36" s="69" t="s">
        <v>436</v>
      </c>
      <c r="G36" s="70">
        <v>30225</v>
      </c>
      <c r="H36" s="71">
        <v>15750</v>
      </c>
    </row>
    <row r="37" spans="1:8" x14ac:dyDescent="0.3">
      <c r="A37" s="68">
        <v>33</v>
      </c>
      <c r="B37" s="69" t="s">
        <v>456</v>
      </c>
      <c r="C37" s="69" t="s">
        <v>457</v>
      </c>
      <c r="D37" s="69" t="s">
        <v>397</v>
      </c>
      <c r="E37" s="69" t="s">
        <v>422</v>
      </c>
      <c r="F37" s="69" t="s">
        <v>439</v>
      </c>
      <c r="G37" s="70">
        <v>35618</v>
      </c>
      <c r="H37" s="71">
        <v>7000</v>
      </c>
    </row>
    <row r="38" spans="1:8" x14ac:dyDescent="0.3">
      <c r="A38" s="68">
        <v>34</v>
      </c>
      <c r="B38" s="69" t="s">
        <v>458</v>
      </c>
      <c r="C38" s="69" t="s">
        <v>459</v>
      </c>
      <c r="D38" s="69" t="s">
        <v>397</v>
      </c>
      <c r="E38" s="69" t="s">
        <v>422</v>
      </c>
      <c r="F38" s="69" t="s">
        <v>460</v>
      </c>
      <c r="G38" s="70">
        <v>33510</v>
      </c>
      <c r="H38" s="71">
        <v>8750</v>
      </c>
    </row>
    <row r="39" spans="1:8" x14ac:dyDescent="0.3">
      <c r="A39" s="68">
        <v>38</v>
      </c>
      <c r="B39" s="69" t="s">
        <v>461</v>
      </c>
      <c r="C39" s="69" t="s">
        <v>462</v>
      </c>
      <c r="D39" s="69" t="s">
        <v>371</v>
      </c>
      <c r="E39" s="69" t="s">
        <v>422</v>
      </c>
      <c r="F39" s="69" t="s">
        <v>463</v>
      </c>
      <c r="G39" s="70">
        <v>30225</v>
      </c>
      <c r="H39" s="71">
        <v>24500</v>
      </c>
    </row>
    <row r="40" spans="1:8" x14ac:dyDescent="0.3">
      <c r="A40" s="68">
        <v>39</v>
      </c>
      <c r="B40" s="69" t="s">
        <v>464</v>
      </c>
      <c r="C40" s="69" t="s">
        <v>465</v>
      </c>
      <c r="D40" s="69" t="s">
        <v>371</v>
      </c>
      <c r="E40" s="69" t="s">
        <v>422</v>
      </c>
      <c r="F40" s="69" t="s">
        <v>385</v>
      </c>
      <c r="G40" s="70">
        <v>30225</v>
      </c>
      <c r="H40" s="71">
        <v>24500</v>
      </c>
    </row>
    <row r="41" spans="1:8" x14ac:dyDescent="0.3">
      <c r="A41" s="68">
        <v>45</v>
      </c>
      <c r="B41" s="69" t="s">
        <v>467</v>
      </c>
      <c r="C41" s="69" t="s">
        <v>468</v>
      </c>
      <c r="D41" s="69" t="s">
        <v>391</v>
      </c>
      <c r="E41" s="69" t="s">
        <v>422</v>
      </c>
      <c r="F41" s="69" t="s">
        <v>423</v>
      </c>
      <c r="G41" s="70">
        <v>35618</v>
      </c>
      <c r="H41" s="71">
        <v>11375</v>
      </c>
    </row>
    <row r="42" spans="1:8" x14ac:dyDescent="0.3">
      <c r="A42" s="68">
        <v>46</v>
      </c>
      <c r="B42" s="69" t="s">
        <v>469</v>
      </c>
      <c r="C42" s="69" t="s">
        <v>470</v>
      </c>
      <c r="D42" s="69" t="s">
        <v>363</v>
      </c>
      <c r="E42" s="69" t="s">
        <v>422</v>
      </c>
      <c r="F42" s="69" t="s">
        <v>460</v>
      </c>
      <c r="G42" s="70">
        <v>33510</v>
      </c>
      <c r="H42" s="71">
        <v>15750</v>
      </c>
    </row>
    <row r="43" spans="1:8" x14ac:dyDescent="0.3">
      <c r="A43" s="68">
        <v>47</v>
      </c>
      <c r="B43" s="69" t="s">
        <v>471</v>
      </c>
      <c r="C43" s="69" t="s">
        <v>472</v>
      </c>
      <c r="D43" s="69" t="s">
        <v>375</v>
      </c>
      <c r="E43" s="69" t="s">
        <v>422</v>
      </c>
      <c r="F43" s="69" t="s">
        <v>429</v>
      </c>
      <c r="G43" s="70">
        <v>32180</v>
      </c>
      <c r="H43" s="71">
        <v>15750</v>
      </c>
    </row>
    <row r="44" spans="1:8" x14ac:dyDescent="0.3">
      <c r="A44" s="68">
        <v>51</v>
      </c>
      <c r="B44" s="69" t="s">
        <v>473</v>
      </c>
      <c r="C44" s="69" t="s">
        <v>474</v>
      </c>
      <c r="D44" s="69" t="s">
        <v>363</v>
      </c>
      <c r="E44" s="69" t="s">
        <v>422</v>
      </c>
      <c r="F44" s="69" t="s">
        <v>442</v>
      </c>
      <c r="G44" s="70">
        <v>32436</v>
      </c>
      <c r="H44" s="71">
        <v>15750</v>
      </c>
    </row>
    <row r="45" spans="1:8" x14ac:dyDescent="0.3">
      <c r="A45" s="68">
        <v>52</v>
      </c>
      <c r="B45" s="69" t="s">
        <v>475</v>
      </c>
      <c r="C45" s="69" t="s">
        <v>476</v>
      </c>
      <c r="D45" s="69" t="s">
        <v>397</v>
      </c>
      <c r="E45" s="69" t="s">
        <v>422</v>
      </c>
      <c r="F45" s="69" t="s">
        <v>460</v>
      </c>
      <c r="G45" s="70">
        <v>32437</v>
      </c>
      <c r="H45" s="71">
        <v>19250</v>
      </c>
    </row>
    <row r="46" spans="1:8" x14ac:dyDescent="0.3">
      <c r="A46" s="68">
        <v>58</v>
      </c>
      <c r="B46" s="69" t="s">
        <v>477</v>
      </c>
      <c r="C46" s="69" t="s">
        <v>478</v>
      </c>
      <c r="D46" s="69" t="s">
        <v>367</v>
      </c>
      <c r="E46" s="69" t="s">
        <v>422</v>
      </c>
      <c r="F46" s="69" t="s">
        <v>436</v>
      </c>
      <c r="G46" s="70">
        <v>33182</v>
      </c>
      <c r="H46" s="71">
        <v>17500</v>
      </c>
    </row>
    <row r="47" spans="1:8" x14ac:dyDescent="0.3">
      <c r="A47" s="68">
        <v>61</v>
      </c>
      <c r="B47" s="69" t="s">
        <v>479</v>
      </c>
      <c r="C47" s="69" t="s">
        <v>480</v>
      </c>
      <c r="D47" s="69" t="s">
        <v>375</v>
      </c>
      <c r="E47" s="69" t="s">
        <v>422</v>
      </c>
      <c r="F47" s="69" t="s">
        <v>436</v>
      </c>
      <c r="G47" s="70">
        <v>32106</v>
      </c>
      <c r="H47" s="71">
        <v>19250</v>
      </c>
    </row>
    <row r="48" spans="1:8" x14ac:dyDescent="0.3">
      <c r="A48" s="68">
        <v>62</v>
      </c>
      <c r="B48" s="69" t="s">
        <v>481</v>
      </c>
      <c r="C48" s="69" t="s">
        <v>374</v>
      </c>
      <c r="D48" s="69" t="s">
        <v>363</v>
      </c>
      <c r="E48" s="69" t="s">
        <v>422</v>
      </c>
      <c r="F48" s="69" t="s">
        <v>429</v>
      </c>
      <c r="G48" s="70">
        <v>32107</v>
      </c>
      <c r="H48" s="71">
        <v>19251</v>
      </c>
    </row>
    <row r="49" spans="1:8" x14ac:dyDescent="0.3">
      <c r="A49" s="68">
        <v>63</v>
      </c>
      <c r="B49" s="69" t="s">
        <v>482</v>
      </c>
      <c r="C49" s="69" t="s">
        <v>483</v>
      </c>
      <c r="D49" s="69" t="s">
        <v>391</v>
      </c>
      <c r="E49" s="69" t="s">
        <v>422</v>
      </c>
      <c r="F49" s="69" t="s">
        <v>442</v>
      </c>
      <c r="G49" s="70">
        <v>32440</v>
      </c>
      <c r="H49" s="71">
        <v>17500</v>
      </c>
    </row>
    <row r="50" spans="1:8" x14ac:dyDescent="0.3">
      <c r="A50" s="68">
        <v>66</v>
      </c>
      <c r="B50" s="69" t="s">
        <v>484</v>
      </c>
      <c r="C50" s="69" t="s">
        <v>485</v>
      </c>
      <c r="D50" s="69" t="s">
        <v>384</v>
      </c>
      <c r="E50" s="69" t="s">
        <v>422</v>
      </c>
      <c r="F50" s="69" t="s">
        <v>436</v>
      </c>
      <c r="G50" s="70">
        <v>32443</v>
      </c>
      <c r="H50" s="71">
        <v>17500</v>
      </c>
    </row>
    <row r="51" spans="1:8" x14ac:dyDescent="0.3">
      <c r="A51" s="68">
        <v>67</v>
      </c>
      <c r="B51" s="69" t="s">
        <v>486</v>
      </c>
      <c r="C51" s="69" t="s">
        <v>405</v>
      </c>
      <c r="D51" s="69" t="s">
        <v>384</v>
      </c>
      <c r="E51" s="69" t="s">
        <v>422</v>
      </c>
      <c r="F51" s="69" t="s">
        <v>460</v>
      </c>
      <c r="G51" s="70">
        <v>32444</v>
      </c>
      <c r="H51" s="71">
        <v>20125</v>
      </c>
    </row>
    <row r="52" spans="1:8" x14ac:dyDescent="0.3">
      <c r="A52" s="68">
        <v>68</v>
      </c>
      <c r="B52" s="69" t="s">
        <v>487</v>
      </c>
      <c r="C52" s="69" t="s">
        <v>403</v>
      </c>
      <c r="D52" s="69" t="s">
        <v>363</v>
      </c>
      <c r="E52" s="69" t="s">
        <v>422</v>
      </c>
      <c r="F52" s="69" t="s">
        <v>385</v>
      </c>
      <c r="G52" s="70">
        <v>35034</v>
      </c>
      <c r="H52" s="71">
        <v>14000</v>
      </c>
    </row>
    <row r="53" spans="1:8" x14ac:dyDescent="0.3">
      <c r="A53" s="68">
        <v>69</v>
      </c>
      <c r="B53" s="69" t="s">
        <v>488</v>
      </c>
      <c r="C53" s="69" t="s">
        <v>472</v>
      </c>
      <c r="D53" s="69" t="s">
        <v>384</v>
      </c>
      <c r="E53" s="69" t="s">
        <v>422</v>
      </c>
      <c r="F53" s="69" t="s">
        <v>385</v>
      </c>
      <c r="G53" s="70">
        <v>34761</v>
      </c>
      <c r="H53" s="71">
        <v>14000</v>
      </c>
    </row>
    <row r="54" spans="1:8" x14ac:dyDescent="0.3">
      <c r="A54" s="68">
        <v>73</v>
      </c>
      <c r="B54" s="69" t="s">
        <v>489</v>
      </c>
      <c r="C54" s="69" t="s">
        <v>490</v>
      </c>
      <c r="D54" s="69" t="s">
        <v>397</v>
      </c>
      <c r="E54" s="69" t="s">
        <v>422</v>
      </c>
      <c r="F54" s="69" t="s">
        <v>447</v>
      </c>
      <c r="G54" s="70">
        <v>32439</v>
      </c>
      <c r="H54" s="71">
        <v>17500</v>
      </c>
    </row>
    <row r="55" spans="1:8" x14ac:dyDescent="0.3">
      <c r="A55" s="68">
        <v>77</v>
      </c>
      <c r="B55" s="69" t="s">
        <v>491</v>
      </c>
      <c r="C55" s="69" t="s">
        <v>485</v>
      </c>
      <c r="D55" s="69" t="s">
        <v>391</v>
      </c>
      <c r="E55" s="69" t="s">
        <v>422</v>
      </c>
      <c r="F55" s="69" t="s">
        <v>385</v>
      </c>
      <c r="G55" s="70">
        <v>32443</v>
      </c>
      <c r="H55" s="71">
        <v>17500</v>
      </c>
    </row>
    <row r="56" spans="1:8" x14ac:dyDescent="0.3">
      <c r="A56" s="68">
        <v>79</v>
      </c>
      <c r="B56" s="69" t="s">
        <v>492</v>
      </c>
      <c r="C56" s="69" t="s">
        <v>493</v>
      </c>
      <c r="D56" s="69" t="s">
        <v>367</v>
      </c>
      <c r="E56" s="69" t="s">
        <v>422</v>
      </c>
      <c r="F56" s="69" t="s">
        <v>385</v>
      </c>
      <c r="G56" s="70">
        <v>32445</v>
      </c>
      <c r="H56" s="71">
        <v>17500</v>
      </c>
    </row>
    <row r="57" spans="1:8" x14ac:dyDescent="0.3">
      <c r="A57" s="68">
        <v>80</v>
      </c>
      <c r="B57" s="69" t="s">
        <v>494</v>
      </c>
      <c r="C57" s="69" t="s">
        <v>495</v>
      </c>
      <c r="D57" s="69" t="s">
        <v>367</v>
      </c>
      <c r="E57" s="69" t="s">
        <v>422</v>
      </c>
      <c r="F57" s="69" t="s">
        <v>423</v>
      </c>
      <c r="G57" s="70">
        <v>32446</v>
      </c>
      <c r="H57" s="71">
        <v>17500</v>
      </c>
    </row>
    <row r="58" spans="1:8" x14ac:dyDescent="0.3">
      <c r="A58" s="68">
        <v>83</v>
      </c>
      <c r="B58" s="69" t="s">
        <v>496</v>
      </c>
      <c r="C58" s="69" t="s">
        <v>485</v>
      </c>
      <c r="D58" s="69" t="s">
        <v>397</v>
      </c>
      <c r="E58" s="69" t="s">
        <v>422</v>
      </c>
      <c r="F58" s="69" t="s">
        <v>463</v>
      </c>
      <c r="G58" s="70">
        <v>36221</v>
      </c>
      <c r="H58" s="71">
        <v>7000</v>
      </c>
    </row>
    <row r="59" spans="1:8" x14ac:dyDescent="0.3">
      <c r="A59" s="68">
        <v>85</v>
      </c>
      <c r="B59" s="69" t="s">
        <v>497</v>
      </c>
      <c r="C59" s="69" t="s">
        <v>498</v>
      </c>
      <c r="D59" s="69" t="s">
        <v>391</v>
      </c>
      <c r="E59" s="69" t="s">
        <v>422</v>
      </c>
      <c r="F59" s="69" t="s">
        <v>436</v>
      </c>
      <c r="G59" s="70">
        <v>35809</v>
      </c>
      <c r="H59" s="71">
        <v>7000</v>
      </c>
    </row>
    <row r="60" spans="1:8" x14ac:dyDescent="0.3">
      <c r="A60" s="68">
        <v>86</v>
      </c>
      <c r="B60" s="69" t="s">
        <v>499</v>
      </c>
      <c r="C60" s="69" t="s">
        <v>377</v>
      </c>
      <c r="D60" s="69" t="s">
        <v>397</v>
      </c>
      <c r="E60" s="69" t="s">
        <v>422</v>
      </c>
      <c r="F60" s="69" t="s">
        <v>442</v>
      </c>
      <c r="G60" s="70">
        <v>35810</v>
      </c>
      <c r="H60" s="71">
        <v>17500</v>
      </c>
    </row>
    <row r="61" spans="1:8" x14ac:dyDescent="0.3">
      <c r="A61" s="68">
        <v>89</v>
      </c>
      <c r="B61" s="69" t="s">
        <v>500</v>
      </c>
      <c r="C61" s="69" t="s">
        <v>501</v>
      </c>
      <c r="D61" s="69" t="s">
        <v>363</v>
      </c>
      <c r="E61" s="69" t="s">
        <v>422</v>
      </c>
      <c r="F61" s="69" t="s">
        <v>463</v>
      </c>
      <c r="G61" s="70">
        <v>28907</v>
      </c>
      <c r="H61" s="71">
        <v>22750</v>
      </c>
    </row>
    <row r="62" spans="1:8" x14ac:dyDescent="0.3">
      <c r="A62" s="68">
        <v>90</v>
      </c>
      <c r="B62" s="69" t="s">
        <v>502</v>
      </c>
      <c r="C62" s="69" t="s">
        <v>468</v>
      </c>
      <c r="D62" s="69" t="s">
        <v>391</v>
      </c>
      <c r="E62" s="69" t="s">
        <v>422</v>
      </c>
      <c r="F62" s="69" t="s">
        <v>447</v>
      </c>
      <c r="G62" s="70">
        <v>29226</v>
      </c>
      <c r="H62" s="71">
        <v>22750</v>
      </c>
    </row>
    <row r="63" spans="1:8" x14ac:dyDescent="0.3">
      <c r="A63" s="68">
        <v>98</v>
      </c>
      <c r="B63" s="69" t="s">
        <v>503</v>
      </c>
      <c r="C63" s="69" t="s">
        <v>504</v>
      </c>
      <c r="D63" s="69" t="s">
        <v>397</v>
      </c>
      <c r="E63" s="69" t="s">
        <v>422</v>
      </c>
      <c r="F63" s="69" t="s">
        <v>385</v>
      </c>
      <c r="G63" s="70">
        <v>32609</v>
      </c>
      <c r="H63" s="71">
        <v>17325</v>
      </c>
    </row>
    <row r="64" spans="1:8" x14ac:dyDescent="0.3">
      <c r="A64" s="68">
        <v>3</v>
      </c>
      <c r="B64" s="69" t="s">
        <v>505</v>
      </c>
      <c r="C64" s="69" t="s">
        <v>325</v>
      </c>
      <c r="D64" s="69" t="s">
        <v>375</v>
      </c>
      <c r="E64" s="69" t="s">
        <v>506</v>
      </c>
      <c r="F64" s="69" t="s">
        <v>507</v>
      </c>
      <c r="G64" s="70">
        <v>36220</v>
      </c>
      <c r="H64" s="71">
        <v>7000</v>
      </c>
    </row>
    <row r="65" spans="1:8" x14ac:dyDescent="0.3">
      <c r="A65" s="68">
        <v>14</v>
      </c>
      <c r="B65" s="69" t="s">
        <v>464</v>
      </c>
      <c r="C65" s="69" t="s">
        <v>403</v>
      </c>
      <c r="D65" s="69" t="s">
        <v>508</v>
      </c>
      <c r="E65" s="69" t="s">
        <v>506</v>
      </c>
      <c r="F65" s="69" t="s">
        <v>509</v>
      </c>
      <c r="G65" s="70">
        <v>31028</v>
      </c>
      <c r="H65" s="71">
        <v>49000</v>
      </c>
    </row>
    <row r="66" spans="1:8" x14ac:dyDescent="0.3">
      <c r="A66" s="68">
        <v>25</v>
      </c>
      <c r="B66" s="69" t="s">
        <v>510</v>
      </c>
      <c r="C66" s="69" t="s">
        <v>511</v>
      </c>
      <c r="D66" s="69" t="s">
        <v>391</v>
      </c>
      <c r="E66" s="69" t="s">
        <v>506</v>
      </c>
      <c r="F66" s="69" t="s">
        <v>512</v>
      </c>
      <c r="G66" s="70">
        <v>36274</v>
      </c>
      <c r="H66" s="71">
        <v>7875</v>
      </c>
    </row>
    <row r="67" spans="1:8" x14ac:dyDescent="0.3">
      <c r="A67" s="68">
        <v>27</v>
      </c>
      <c r="B67" s="69" t="s">
        <v>513</v>
      </c>
      <c r="C67" s="69" t="s">
        <v>514</v>
      </c>
      <c r="D67" s="69" t="s">
        <v>363</v>
      </c>
      <c r="E67" s="69" t="s">
        <v>506</v>
      </c>
      <c r="F67" s="69" t="s">
        <v>515</v>
      </c>
      <c r="G67" s="70">
        <v>33787</v>
      </c>
      <c r="H67" s="71">
        <v>13125</v>
      </c>
    </row>
    <row r="68" spans="1:8" x14ac:dyDescent="0.3">
      <c r="A68" s="68">
        <v>32</v>
      </c>
      <c r="B68" s="69" t="s">
        <v>516</v>
      </c>
      <c r="C68" s="69" t="s">
        <v>472</v>
      </c>
      <c r="D68" s="69" t="s">
        <v>397</v>
      </c>
      <c r="E68" s="69" t="s">
        <v>506</v>
      </c>
      <c r="F68" s="69" t="s">
        <v>512</v>
      </c>
      <c r="G68" s="70">
        <v>30225</v>
      </c>
      <c r="H68" s="71">
        <v>15750</v>
      </c>
    </row>
    <row r="69" spans="1:8" x14ac:dyDescent="0.3">
      <c r="A69" s="68">
        <v>35</v>
      </c>
      <c r="B69" s="69" t="s">
        <v>517</v>
      </c>
      <c r="C69" s="69" t="s">
        <v>472</v>
      </c>
      <c r="D69" s="69" t="s">
        <v>367</v>
      </c>
      <c r="E69" s="69" t="s">
        <v>506</v>
      </c>
      <c r="F69" s="69" t="s">
        <v>512</v>
      </c>
      <c r="G69" s="70">
        <v>33729</v>
      </c>
      <c r="H69" s="71">
        <v>9275</v>
      </c>
    </row>
    <row r="70" spans="1:8" x14ac:dyDescent="0.3">
      <c r="A70" s="68">
        <v>37</v>
      </c>
      <c r="B70" s="69" t="s">
        <v>440</v>
      </c>
      <c r="C70" s="69" t="s">
        <v>518</v>
      </c>
      <c r="D70" s="69" t="s">
        <v>371</v>
      </c>
      <c r="E70" s="69" t="s">
        <v>506</v>
      </c>
      <c r="F70" s="69" t="s">
        <v>519</v>
      </c>
      <c r="G70" s="70">
        <v>30225</v>
      </c>
      <c r="H70" s="71">
        <v>24500</v>
      </c>
    </row>
    <row r="71" spans="1:8" x14ac:dyDescent="0.3">
      <c r="A71" s="68">
        <v>40</v>
      </c>
      <c r="B71" s="69" t="s">
        <v>520</v>
      </c>
      <c r="C71" s="69" t="s">
        <v>521</v>
      </c>
      <c r="D71" s="69" t="s">
        <v>363</v>
      </c>
      <c r="E71" s="69" t="s">
        <v>506</v>
      </c>
      <c r="F71" s="69" t="s">
        <v>512</v>
      </c>
      <c r="G71" s="70">
        <v>33510</v>
      </c>
      <c r="H71" s="71">
        <v>10500</v>
      </c>
    </row>
    <row r="72" spans="1:8" x14ac:dyDescent="0.3">
      <c r="A72" s="68">
        <v>49</v>
      </c>
      <c r="B72" s="69" t="s">
        <v>522</v>
      </c>
      <c r="C72" s="69" t="s">
        <v>523</v>
      </c>
      <c r="D72" s="69" t="s">
        <v>397</v>
      </c>
      <c r="E72" s="69" t="s">
        <v>506</v>
      </c>
      <c r="F72" s="69" t="s">
        <v>509</v>
      </c>
      <c r="G72" s="70">
        <v>32435</v>
      </c>
      <c r="H72" s="71">
        <v>15750</v>
      </c>
    </row>
    <row r="73" spans="1:8" x14ac:dyDescent="0.3">
      <c r="A73" s="68">
        <v>57</v>
      </c>
      <c r="B73" s="69" t="s">
        <v>524</v>
      </c>
      <c r="C73" s="69" t="s">
        <v>525</v>
      </c>
      <c r="D73" s="69" t="s">
        <v>363</v>
      </c>
      <c r="E73" s="69" t="s">
        <v>506</v>
      </c>
      <c r="F73" s="69" t="s">
        <v>526</v>
      </c>
      <c r="G73" s="70">
        <v>34098</v>
      </c>
      <c r="H73" s="71">
        <v>14875</v>
      </c>
    </row>
    <row r="74" spans="1:8" x14ac:dyDescent="0.3">
      <c r="A74" s="68">
        <v>59</v>
      </c>
      <c r="B74" s="69" t="s">
        <v>527</v>
      </c>
      <c r="C74" s="69" t="s">
        <v>528</v>
      </c>
      <c r="D74" s="69" t="s">
        <v>375</v>
      </c>
      <c r="E74" s="69" t="s">
        <v>506</v>
      </c>
      <c r="F74" s="69" t="s">
        <v>515</v>
      </c>
      <c r="G74" s="70">
        <v>31791</v>
      </c>
      <c r="H74" s="71">
        <v>19250</v>
      </c>
    </row>
    <row r="75" spans="1:8" x14ac:dyDescent="0.3">
      <c r="A75" s="68">
        <v>60</v>
      </c>
      <c r="B75" s="69" t="s">
        <v>529</v>
      </c>
      <c r="C75" s="69" t="s">
        <v>530</v>
      </c>
      <c r="D75" s="69" t="s">
        <v>367</v>
      </c>
      <c r="E75" s="69" t="s">
        <v>506</v>
      </c>
      <c r="F75" s="69" t="s">
        <v>531</v>
      </c>
      <c r="G75" s="70">
        <v>32105</v>
      </c>
      <c r="H75" s="71">
        <v>19250</v>
      </c>
    </row>
    <row r="76" spans="1:8" x14ac:dyDescent="0.3">
      <c r="A76" s="68">
        <v>64</v>
      </c>
      <c r="B76" s="69" t="s">
        <v>532</v>
      </c>
      <c r="C76" s="69" t="s">
        <v>533</v>
      </c>
      <c r="D76" s="69" t="s">
        <v>384</v>
      </c>
      <c r="E76" s="69" t="s">
        <v>506</v>
      </c>
      <c r="F76" s="69" t="s">
        <v>507</v>
      </c>
      <c r="G76" s="70">
        <v>32441</v>
      </c>
      <c r="H76" s="71">
        <v>17500</v>
      </c>
    </row>
    <row r="77" spans="1:8" x14ac:dyDescent="0.3">
      <c r="A77" s="68">
        <v>72</v>
      </c>
      <c r="B77" s="69" t="s">
        <v>534</v>
      </c>
      <c r="C77" s="69" t="s">
        <v>455</v>
      </c>
      <c r="D77" s="69" t="s">
        <v>391</v>
      </c>
      <c r="E77" s="69" t="s">
        <v>506</v>
      </c>
      <c r="F77" s="69" t="s">
        <v>519</v>
      </c>
      <c r="G77" s="70">
        <v>32438</v>
      </c>
      <c r="H77" s="71">
        <v>17500</v>
      </c>
    </row>
    <row r="78" spans="1:8" x14ac:dyDescent="0.3">
      <c r="A78" s="68">
        <v>81</v>
      </c>
      <c r="B78" s="69" t="s">
        <v>535</v>
      </c>
      <c r="C78" s="69" t="s">
        <v>536</v>
      </c>
      <c r="D78" s="69" t="s">
        <v>397</v>
      </c>
      <c r="E78" s="69" t="s">
        <v>506</v>
      </c>
      <c r="F78" s="69" t="s">
        <v>526</v>
      </c>
      <c r="G78" s="70">
        <v>32447</v>
      </c>
      <c r="H78" s="71">
        <v>17500</v>
      </c>
    </row>
    <row r="79" spans="1:8" x14ac:dyDescent="0.3">
      <c r="A79" s="68">
        <v>87</v>
      </c>
      <c r="B79" s="69" t="s">
        <v>537</v>
      </c>
      <c r="C79" s="69" t="s">
        <v>538</v>
      </c>
      <c r="D79" s="69" t="s">
        <v>367</v>
      </c>
      <c r="E79" s="69" t="s">
        <v>506</v>
      </c>
      <c r="F79" s="69" t="s">
        <v>507</v>
      </c>
      <c r="G79" s="70">
        <v>35811</v>
      </c>
      <c r="H79" s="71">
        <v>17500</v>
      </c>
    </row>
    <row r="80" spans="1:8" x14ac:dyDescent="0.3">
      <c r="A80" s="68">
        <v>93</v>
      </c>
      <c r="B80" s="69" t="s">
        <v>539</v>
      </c>
      <c r="C80" s="69" t="s">
        <v>374</v>
      </c>
      <c r="D80" s="69" t="s">
        <v>363</v>
      </c>
      <c r="E80" s="69" t="s">
        <v>506</v>
      </c>
      <c r="F80" s="69" t="s">
        <v>515</v>
      </c>
      <c r="G80" s="70">
        <v>32604</v>
      </c>
      <c r="H80" s="71">
        <v>17325</v>
      </c>
    </row>
    <row r="81" spans="1:8" x14ac:dyDescent="0.3">
      <c r="A81" s="68">
        <v>95</v>
      </c>
      <c r="B81" s="69" t="s">
        <v>540</v>
      </c>
      <c r="C81" s="69" t="s">
        <v>459</v>
      </c>
      <c r="D81" s="69" t="s">
        <v>367</v>
      </c>
      <c r="E81" s="69" t="s">
        <v>506</v>
      </c>
      <c r="F81" s="69" t="s">
        <v>515</v>
      </c>
      <c r="G81" s="70">
        <v>32606</v>
      </c>
      <c r="H81" s="71">
        <v>17325</v>
      </c>
    </row>
    <row r="82" spans="1:8" x14ac:dyDescent="0.3">
      <c r="A82" s="68">
        <v>97</v>
      </c>
      <c r="B82" s="69" t="s">
        <v>541</v>
      </c>
      <c r="C82" s="69" t="s">
        <v>542</v>
      </c>
      <c r="D82" s="69" t="s">
        <v>391</v>
      </c>
      <c r="E82" s="69" t="s">
        <v>506</v>
      </c>
      <c r="F82" s="69" t="s">
        <v>531</v>
      </c>
      <c r="G82" s="70">
        <v>32608</v>
      </c>
      <c r="H82" s="71">
        <v>17325</v>
      </c>
    </row>
    <row r="83" spans="1:8" x14ac:dyDescent="0.3">
      <c r="A83" s="68">
        <v>100</v>
      </c>
      <c r="B83" s="69" t="s">
        <v>543</v>
      </c>
      <c r="C83" s="69" t="s">
        <v>544</v>
      </c>
      <c r="D83" s="69" t="s">
        <v>371</v>
      </c>
      <c r="E83" s="69" t="s">
        <v>506</v>
      </c>
      <c r="F83" s="69" t="s">
        <v>507</v>
      </c>
      <c r="G83" s="70">
        <v>36193</v>
      </c>
      <c r="H83" s="71">
        <v>7875</v>
      </c>
    </row>
    <row r="84" spans="1:8" x14ac:dyDescent="0.3">
      <c r="A84" s="68">
        <v>7</v>
      </c>
      <c r="B84" s="69" t="s">
        <v>545</v>
      </c>
      <c r="C84" s="69" t="s">
        <v>546</v>
      </c>
      <c r="D84" s="69" t="s">
        <v>384</v>
      </c>
      <c r="E84" s="69" t="s">
        <v>547</v>
      </c>
      <c r="F84" s="69" t="s">
        <v>548</v>
      </c>
      <c r="G84" s="70">
        <v>33102</v>
      </c>
      <c r="H84" s="71">
        <v>12425</v>
      </c>
    </row>
    <row r="85" spans="1:8" x14ac:dyDescent="0.3">
      <c r="A85" s="68">
        <v>11</v>
      </c>
      <c r="B85" s="69" t="s">
        <v>549</v>
      </c>
      <c r="C85" s="69" t="s">
        <v>550</v>
      </c>
      <c r="D85" s="69" t="s">
        <v>371</v>
      </c>
      <c r="E85" s="69" t="s">
        <v>547</v>
      </c>
      <c r="F85" s="69" t="s">
        <v>548</v>
      </c>
      <c r="G85" s="70">
        <v>31402</v>
      </c>
      <c r="H85" s="71">
        <v>14875</v>
      </c>
    </row>
    <row r="86" spans="1:8" x14ac:dyDescent="0.3">
      <c r="A86" s="68">
        <v>18</v>
      </c>
      <c r="B86" s="69" t="s">
        <v>551</v>
      </c>
      <c r="C86" s="69" t="s">
        <v>552</v>
      </c>
      <c r="D86" s="69" t="s">
        <v>375</v>
      </c>
      <c r="E86" s="69" t="s">
        <v>547</v>
      </c>
      <c r="F86" s="69" t="s">
        <v>553</v>
      </c>
      <c r="G86" s="70">
        <v>30376</v>
      </c>
      <c r="H86" s="71">
        <v>15750</v>
      </c>
    </row>
    <row r="87" spans="1:8" x14ac:dyDescent="0.3">
      <c r="A87" s="68">
        <v>22</v>
      </c>
      <c r="B87" s="69" t="s">
        <v>554</v>
      </c>
      <c r="C87" s="69" t="s">
        <v>478</v>
      </c>
      <c r="D87" s="69" t="s">
        <v>367</v>
      </c>
      <c r="E87" s="69" t="s">
        <v>547</v>
      </c>
      <c r="F87" s="69" t="s">
        <v>553</v>
      </c>
      <c r="G87" s="70">
        <v>36318</v>
      </c>
      <c r="H87" s="71">
        <v>7875</v>
      </c>
    </row>
    <row r="88" spans="1:8" x14ac:dyDescent="0.3">
      <c r="A88" s="68">
        <v>23</v>
      </c>
      <c r="B88" s="69" t="s">
        <v>555</v>
      </c>
      <c r="C88" s="69" t="s">
        <v>483</v>
      </c>
      <c r="D88" s="69" t="s">
        <v>367</v>
      </c>
      <c r="E88" s="69" t="s">
        <v>547</v>
      </c>
      <c r="F88" s="69" t="s">
        <v>548</v>
      </c>
      <c r="G88" s="70">
        <v>36319</v>
      </c>
      <c r="H88" s="71">
        <v>7875</v>
      </c>
    </row>
    <row r="89" spans="1:8" x14ac:dyDescent="0.3">
      <c r="A89" s="68">
        <v>24</v>
      </c>
      <c r="B89" s="69" t="s">
        <v>389</v>
      </c>
      <c r="C89" s="69" t="s">
        <v>556</v>
      </c>
      <c r="D89" s="69" t="s">
        <v>363</v>
      </c>
      <c r="E89" s="69" t="s">
        <v>547</v>
      </c>
      <c r="F89" s="69" t="s">
        <v>553</v>
      </c>
      <c r="G89" s="70">
        <v>29362</v>
      </c>
      <c r="H89" s="71">
        <v>14875</v>
      </c>
    </row>
    <row r="90" spans="1:8" x14ac:dyDescent="0.3">
      <c r="A90" s="68">
        <v>28</v>
      </c>
      <c r="B90" s="69" t="s">
        <v>557</v>
      </c>
      <c r="C90" s="69" t="s">
        <v>558</v>
      </c>
      <c r="D90" s="69" t="s">
        <v>391</v>
      </c>
      <c r="E90" s="69" t="s">
        <v>547</v>
      </c>
      <c r="F90" s="69" t="s">
        <v>559</v>
      </c>
      <c r="G90" s="70">
        <v>34777</v>
      </c>
      <c r="H90" s="71">
        <v>10500</v>
      </c>
    </row>
    <row r="91" spans="1:8" x14ac:dyDescent="0.3">
      <c r="A91" s="68">
        <v>36</v>
      </c>
      <c r="B91" s="69" t="s">
        <v>389</v>
      </c>
      <c r="C91" s="69" t="s">
        <v>560</v>
      </c>
      <c r="D91" s="69" t="s">
        <v>384</v>
      </c>
      <c r="E91" s="69" t="s">
        <v>547</v>
      </c>
      <c r="F91" s="69" t="s">
        <v>561</v>
      </c>
      <c r="G91" s="70">
        <v>34580</v>
      </c>
      <c r="H91" s="71">
        <v>11725</v>
      </c>
    </row>
    <row r="92" spans="1:8" x14ac:dyDescent="0.3">
      <c r="A92" s="68">
        <v>43</v>
      </c>
      <c r="B92" s="69" t="s">
        <v>562</v>
      </c>
      <c r="C92" s="69" t="s">
        <v>525</v>
      </c>
      <c r="D92" s="69" t="s">
        <v>384</v>
      </c>
      <c r="E92" s="69" t="s">
        <v>547</v>
      </c>
      <c r="F92" s="69" t="s">
        <v>559</v>
      </c>
      <c r="G92" s="70">
        <v>32435</v>
      </c>
      <c r="H92" s="71">
        <v>15750</v>
      </c>
    </row>
    <row r="93" spans="1:8" x14ac:dyDescent="0.3">
      <c r="A93" s="68">
        <v>48</v>
      </c>
      <c r="B93" s="69" t="s">
        <v>563</v>
      </c>
      <c r="C93" s="69" t="s">
        <v>472</v>
      </c>
      <c r="D93" s="69" t="s">
        <v>397</v>
      </c>
      <c r="E93" s="69" t="s">
        <v>547</v>
      </c>
      <c r="F93" s="69" t="s">
        <v>564</v>
      </c>
      <c r="G93" s="70">
        <v>32435</v>
      </c>
      <c r="H93" s="71">
        <v>15750</v>
      </c>
    </row>
    <row r="94" spans="1:8" x14ac:dyDescent="0.3">
      <c r="A94" s="68">
        <v>50</v>
      </c>
      <c r="B94" s="69" t="s">
        <v>565</v>
      </c>
      <c r="C94" s="69" t="s">
        <v>470</v>
      </c>
      <c r="D94" s="69" t="s">
        <v>384</v>
      </c>
      <c r="E94" s="69" t="s">
        <v>547</v>
      </c>
      <c r="F94" s="69" t="s">
        <v>564</v>
      </c>
      <c r="G94" s="70">
        <v>32435</v>
      </c>
      <c r="H94" s="71">
        <v>15750</v>
      </c>
    </row>
    <row r="95" spans="1:8" x14ac:dyDescent="0.3">
      <c r="A95" s="68">
        <v>53</v>
      </c>
      <c r="B95" s="69" t="s">
        <v>566</v>
      </c>
      <c r="C95" s="69" t="s">
        <v>567</v>
      </c>
      <c r="D95" s="69" t="s">
        <v>397</v>
      </c>
      <c r="E95" s="69" t="s">
        <v>547</v>
      </c>
      <c r="F95" s="69" t="s">
        <v>568</v>
      </c>
      <c r="G95" s="70">
        <v>35034</v>
      </c>
      <c r="H95" s="71">
        <v>15750</v>
      </c>
    </row>
    <row r="96" spans="1:8" x14ac:dyDescent="0.3">
      <c r="A96" s="68">
        <v>56</v>
      </c>
      <c r="B96" s="69" t="s">
        <v>569</v>
      </c>
      <c r="C96" s="69" t="s">
        <v>570</v>
      </c>
      <c r="D96" s="69" t="s">
        <v>363</v>
      </c>
      <c r="E96" s="69" t="s">
        <v>547</v>
      </c>
      <c r="F96" s="69" t="s">
        <v>568</v>
      </c>
      <c r="G96" s="70">
        <v>33878</v>
      </c>
      <c r="H96" s="71">
        <v>14875</v>
      </c>
    </row>
    <row r="97" spans="1:8" x14ac:dyDescent="0.3">
      <c r="A97" s="68">
        <v>71</v>
      </c>
      <c r="B97" s="69" t="s">
        <v>571</v>
      </c>
      <c r="C97" s="69" t="s">
        <v>572</v>
      </c>
      <c r="D97" s="69" t="s">
        <v>391</v>
      </c>
      <c r="E97" s="69" t="s">
        <v>547</v>
      </c>
      <c r="F97" s="69" t="s">
        <v>573</v>
      </c>
      <c r="G97" s="70">
        <v>34763</v>
      </c>
      <c r="H97" s="71">
        <v>14000</v>
      </c>
    </row>
    <row r="98" spans="1:8" x14ac:dyDescent="0.3">
      <c r="A98" s="68">
        <v>76</v>
      </c>
      <c r="B98" s="69" t="s">
        <v>574</v>
      </c>
      <c r="C98" s="69" t="s">
        <v>394</v>
      </c>
      <c r="D98" s="69" t="s">
        <v>397</v>
      </c>
      <c r="E98" s="69" t="s">
        <v>547</v>
      </c>
      <c r="F98" s="69" t="s">
        <v>573</v>
      </c>
      <c r="G98" s="70">
        <v>32442</v>
      </c>
      <c r="H98" s="71">
        <v>17500</v>
      </c>
    </row>
    <row r="99" spans="1:8" x14ac:dyDescent="0.3">
      <c r="A99" s="68">
        <v>78</v>
      </c>
      <c r="B99" s="69" t="s">
        <v>575</v>
      </c>
      <c r="C99" s="69" t="s">
        <v>576</v>
      </c>
      <c r="D99" s="69" t="s">
        <v>363</v>
      </c>
      <c r="E99" s="69" t="s">
        <v>547</v>
      </c>
      <c r="F99" s="69" t="s">
        <v>559</v>
      </c>
      <c r="G99" s="70">
        <v>32444</v>
      </c>
      <c r="H99" s="71">
        <v>17500</v>
      </c>
    </row>
    <row r="100" spans="1:8" x14ac:dyDescent="0.3">
      <c r="A100" s="68">
        <v>88</v>
      </c>
      <c r="B100" s="69" t="s">
        <v>577</v>
      </c>
      <c r="C100" s="69" t="s">
        <v>578</v>
      </c>
      <c r="D100" s="69" t="s">
        <v>367</v>
      </c>
      <c r="E100" s="69" t="s">
        <v>547</v>
      </c>
      <c r="F100" s="69" t="s">
        <v>548</v>
      </c>
      <c r="G100" s="70">
        <v>35794</v>
      </c>
      <c r="H100" s="71">
        <v>7875</v>
      </c>
    </row>
    <row r="101" spans="1:8" x14ac:dyDescent="0.3">
      <c r="A101" s="68">
        <v>94</v>
      </c>
      <c r="B101" s="69" t="s">
        <v>579</v>
      </c>
      <c r="C101" s="69" t="s">
        <v>580</v>
      </c>
      <c r="D101" s="69" t="s">
        <v>367</v>
      </c>
      <c r="E101" s="69" t="s">
        <v>547</v>
      </c>
      <c r="F101" s="69" t="s">
        <v>561</v>
      </c>
      <c r="G101" s="70">
        <v>32605</v>
      </c>
      <c r="H101" s="71">
        <v>17325</v>
      </c>
    </row>
    <row r="102" spans="1:8" x14ac:dyDescent="0.3">
      <c r="A102" s="68">
        <v>96</v>
      </c>
      <c r="B102" s="69" t="s">
        <v>425</v>
      </c>
      <c r="C102" s="69" t="s">
        <v>325</v>
      </c>
      <c r="D102" s="69" t="s">
        <v>391</v>
      </c>
      <c r="E102" s="69" t="s">
        <v>547</v>
      </c>
      <c r="F102" s="69" t="s">
        <v>568</v>
      </c>
      <c r="G102" s="70">
        <v>32607</v>
      </c>
      <c r="H102" s="71">
        <v>17325</v>
      </c>
    </row>
    <row r="103" spans="1:8" x14ac:dyDescent="0.3">
      <c r="A103" s="68">
        <v>99</v>
      </c>
      <c r="B103" s="69" t="s">
        <v>581</v>
      </c>
      <c r="C103" s="69" t="s">
        <v>485</v>
      </c>
      <c r="D103" s="69" t="s">
        <v>371</v>
      </c>
      <c r="E103" s="69" t="s">
        <v>547</v>
      </c>
      <c r="F103" s="69" t="s">
        <v>559</v>
      </c>
      <c r="G103" s="70">
        <v>35794</v>
      </c>
      <c r="H103" s="71">
        <v>10500</v>
      </c>
    </row>
  </sheetData>
  <conditionalFormatting sqref="A3:H26">
    <cfRule type="containsBlanks" dxfId="0" priority="2">
      <formula>LEN(TRIM(A3))=0</formula>
    </cfRule>
  </conditionalFormatting>
  <hyperlinks>
    <hyperlink ref="B1" location="Home!A1" display="Home" xr:uid="{EFA58495-75B1-4D8E-A7A2-23D92E078173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8D4D-E63E-4DB5-A0FE-E339FAB02414}">
  <dimension ref="O5"/>
  <sheetViews>
    <sheetView workbookViewId="0">
      <selection activeCell="O5" sqref="O5"/>
    </sheetView>
  </sheetViews>
  <sheetFormatPr defaultColWidth="8.796875" defaultRowHeight="18.75" x14ac:dyDescent="0.3"/>
  <cols>
    <col min="1" max="16384" width="8.796875" style="90"/>
  </cols>
  <sheetData>
    <row r="5" spans="15:15" x14ac:dyDescent="0.3">
      <c r="O5" s="89" t="s">
        <v>955</v>
      </c>
    </row>
  </sheetData>
  <hyperlinks>
    <hyperlink ref="O5" location="Home!A1" display="Home" xr:uid="{30EDF2FE-92B5-4F75-A7A7-C622886D296F}"/>
  </hyperlink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A978-113D-4C58-B985-5AB4B3AF31F4}">
  <dimension ref="O5"/>
  <sheetViews>
    <sheetView workbookViewId="0">
      <selection activeCell="P8" sqref="P8"/>
    </sheetView>
  </sheetViews>
  <sheetFormatPr defaultColWidth="8.796875" defaultRowHeight="18.75" x14ac:dyDescent="0.3"/>
  <cols>
    <col min="1" max="16384" width="8.796875" style="90"/>
  </cols>
  <sheetData>
    <row r="5" spans="15:15" x14ac:dyDescent="0.3">
      <c r="O5" s="89" t="s">
        <v>955</v>
      </c>
    </row>
  </sheetData>
  <hyperlinks>
    <hyperlink ref="O5" location="Home!A1" display="Home" xr:uid="{5E21D39E-54D8-4DD1-9FFC-AFA7A98F1448}"/>
  </hyperlink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3650-A131-44DA-8288-22195E3E8CD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0</v>
      </c>
      <c r="B1" s="150"/>
      <c r="C1" s="150"/>
    </row>
    <row r="2" spans="1:13" x14ac:dyDescent="0.3">
      <c r="A2" s="37" t="s">
        <v>2</v>
      </c>
    </row>
    <row r="3" spans="1:13" x14ac:dyDescent="0.3">
      <c r="L3" s="38"/>
      <c r="M3" s="38"/>
    </row>
  </sheetData>
  <mergeCells count="1">
    <mergeCell ref="B1:C1"/>
  </mergeCells>
  <hyperlinks>
    <hyperlink ref="A2" location="Home!A1" display="Home" xr:uid="{BE2512EE-E2E1-4684-BC2C-9F682B41A042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0B7F-6310-4B33-8E2C-F6B9A4C2B8A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0</v>
      </c>
      <c r="B1" s="150"/>
      <c r="C1" s="150"/>
    </row>
    <row r="2" spans="1:13" x14ac:dyDescent="0.3">
      <c r="A2" s="37" t="s">
        <v>2</v>
      </c>
    </row>
    <row r="3" spans="1:13" x14ac:dyDescent="0.3">
      <c r="L3" s="38"/>
      <c r="M3" s="38"/>
    </row>
  </sheetData>
  <mergeCells count="1">
    <mergeCell ref="B1:C1"/>
  </mergeCells>
  <hyperlinks>
    <hyperlink ref="A2" location="Home!A1" display="Home" xr:uid="{FDA46809-9C9D-4275-A60F-A4A582F41F79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0036-CBD4-4E65-8126-34924E74F316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0</v>
      </c>
      <c r="B1" s="150"/>
      <c r="C1" s="150"/>
    </row>
    <row r="2" spans="1:13" x14ac:dyDescent="0.3">
      <c r="A2" s="37" t="s">
        <v>2</v>
      </c>
    </row>
    <row r="3" spans="1:13" x14ac:dyDescent="0.3">
      <c r="L3" s="38"/>
      <c r="M3" s="38"/>
    </row>
  </sheetData>
  <mergeCells count="1">
    <mergeCell ref="B1:C1"/>
  </mergeCells>
  <hyperlinks>
    <hyperlink ref="A2" location="Home!A1" display="Home" xr:uid="{82E72558-6C09-45F5-A91E-1C0B40526DF6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EE3F-D11B-4F9E-B981-2C973E9535E1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6">
        <v>0</v>
      </c>
      <c r="B1" s="150"/>
      <c r="C1" s="150"/>
    </row>
    <row r="2" spans="1:13" x14ac:dyDescent="0.3">
      <c r="A2" s="37" t="s">
        <v>2</v>
      </c>
    </row>
    <row r="3" spans="1:13" x14ac:dyDescent="0.3">
      <c r="L3" s="38"/>
      <c r="M3" s="38"/>
    </row>
  </sheetData>
  <mergeCells count="1">
    <mergeCell ref="B1:C1"/>
  </mergeCells>
  <hyperlinks>
    <hyperlink ref="A2" location="Home!A1" display="Home" xr:uid="{CD44A152-15AE-4518-A8A0-7B14DD575929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83A2-59D3-4D5E-80C3-3E8A5BE30A60}">
  <dimension ref="A2:C42"/>
  <sheetViews>
    <sheetView workbookViewId="0"/>
  </sheetViews>
  <sheetFormatPr defaultRowHeight="18.75" x14ac:dyDescent="0.3"/>
  <cols>
    <col min="1" max="1" width="11.59765625" bestFit="1" customWidth="1"/>
    <col min="2" max="2" width="8.69921875" bestFit="1" customWidth="1"/>
    <col min="3" max="3" width="16.796875" bestFit="1" customWidth="1"/>
  </cols>
  <sheetData>
    <row r="2" spans="1:3" x14ac:dyDescent="0.3">
      <c r="A2" s="133" t="s">
        <v>357</v>
      </c>
      <c r="B2" s="133" t="s">
        <v>84</v>
      </c>
      <c r="C2" t="s">
        <v>967</v>
      </c>
    </row>
    <row r="3" spans="1:3" x14ac:dyDescent="0.3">
      <c r="A3" t="s">
        <v>375</v>
      </c>
      <c r="B3" t="s">
        <v>547</v>
      </c>
      <c r="C3">
        <v>15750</v>
      </c>
    </row>
    <row r="4" spans="1:3" x14ac:dyDescent="0.3">
      <c r="B4" t="s">
        <v>422</v>
      </c>
      <c r="C4">
        <v>15610</v>
      </c>
    </row>
    <row r="5" spans="1:3" x14ac:dyDescent="0.3">
      <c r="B5" t="s">
        <v>90</v>
      </c>
      <c r="C5">
        <v>13708.333333333334</v>
      </c>
    </row>
    <row r="6" spans="1:3" x14ac:dyDescent="0.3">
      <c r="B6" t="s">
        <v>506</v>
      </c>
      <c r="C6">
        <v>13125</v>
      </c>
    </row>
    <row r="7" spans="1:3" x14ac:dyDescent="0.3">
      <c r="A7" t="s">
        <v>968</v>
      </c>
      <c r="C7">
        <v>14652.272727272728</v>
      </c>
    </row>
    <row r="8" spans="1:3" x14ac:dyDescent="0.3">
      <c r="A8" t="s">
        <v>397</v>
      </c>
      <c r="B8" t="s">
        <v>547</v>
      </c>
      <c r="C8">
        <v>16333.333333333334</v>
      </c>
    </row>
    <row r="9" spans="1:3" x14ac:dyDescent="0.3">
      <c r="B9" t="s">
        <v>506</v>
      </c>
      <c r="C9">
        <v>16333.333333333334</v>
      </c>
    </row>
    <row r="10" spans="1:3" x14ac:dyDescent="0.3">
      <c r="B10" t="s">
        <v>90</v>
      </c>
      <c r="C10">
        <v>16333.333333333334</v>
      </c>
    </row>
    <row r="11" spans="1:3" x14ac:dyDescent="0.3">
      <c r="B11" t="s">
        <v>422</v>
      </c>
      <c r="C11">
        <v>13475</v>
      </c>
    </row>
    <row r="12" spans="1:3" x14ac:dyDescent="0.3">
      <c r="A12" t="s">
        <v>969</v>
      </c>
      <c r="C12">
        <v>15082.8125</v>
      </c>
    </row>
    <row r="13" spans="1:3" x14ac:dyDescent="0.3">
      <c r="A13" t="s">
        <v>508</v>
      </c>
      <c r="B13" t="s">
        <v>506</v>
      </c>
      <c r="C13">
        <v>49000</v>
      </c>
    </row>
    <row r="14" spans="1:3" x14ac:dyDescent="0.3">
      <c r="A14" t="s">
        <v>970</v>
      </c>
      <c r="C14">
        <v>49000</v>
      </c>
    </row>
    <row r="15" spans="1:3" x14ac:dyDescent="0.3">
      <c r="A15" t="s">
        <v>371</v>
      </c>
      <c r="B15" t="s">
        <v>422</v>
      </c>
      <c r="C15">
        <v>24500</v>
      </c>
    </row>
    <row r="16" spans="1:3" x14ac:dyDescent="0.3">
      <c r="B16" t="s">
        <v>90</v>
      </c>
      <c r="C16">
        <v>19250</v>
      </c>
    </row>
    <row r="17" spans="1:3" x14ac:dyDescent="0.3">
      <c r="B17" t="s">
        <v>506</v>
      </c>
      <c r="C17">
        <v>16187.5</v>
      </c>
    </row>
    <row r="18" spans="1:3" x14ac:dyDescent="0.3">
      <c r="B18" t="s">
        <v>547</v>
      </c>
      <c r="C18">
        <v>12687.5</v>
      </c>
    </row>
    <row r="19" spans="1:3" x14ac:dyDescent="0.3">
      <c r="A19" t="s">
        <v>971</v>
      </c>
      <c r="C19">
        <v>18000</v>
      </c>
    </row>
    <row r="20" spans="1:3" x14ac:dyDescent="0.3">
      <c r="A20" t="s">
        <v>954</v>
      </c>
      <c r="B20" t="s">
        <v>90</v>
      </c>
      <c r="C20">
        <v>17500</v>
      </c>
    </row>
    <row r="21" spans="1:3" x14ac:dyDescent="0.3">
      <c r="A21" t="s">
        <v>972</v>
      </c>
      <c r="C21">
        <v>17500</v>
      </c>
    </row>
    <row r="22" spans="1:3" x14ac:dyDescent="0.3">
      <c r="A22" t="s">
        <v>367</v>
      </c>
      <c r="B22" t="s">
        <v>506</v>
      </c>
      <c r="C22">
        <v>15837.5</v>
      </c>
    </row>
    <row r="23" spans="1:3" x14ac:dyDescent="0.3">
      <c r="B23" t="s">
        <v>90</v>
      </c>
      <c r="C23">
        <v>13737.5</v>
      </c>
    </row>
    <row r="24" spans="1:3" x14ac:dyDescent="0.3">
      <c r="B24" t="s">
        <v>422</v>
      </c>
      <c r="C24">
        <v>13533.333333333334</v>
      </c>
    </row>
    <row r="25" spans="1:3" x14ac:dyDescent="0.3">
      <c r="B25" t="s">
        <v>547</v>
      </c>
      <c r="C25">
        <v>10237.5</v>
      </c>
    </row>
    <row r="26" spans="1:3" x14ac:dyDescent="0.3">
      <c r="A26" t="s">
        <v>973</v>
      </c>
      <c r="C26">
        <v>13358.333333333334</v>
      </c>
    </row>
    <row r="27" spans="1:3" x14ac:dyDescent="0.3">
      <c r="A27" t="s">
        <v>384</v>
      </c>
      <c r="B27" t="s">
        <v>506</v>
      </c>
      <c r="C27">
        <v>17500</v>
      </c>
    </row>
    <row r="28" spans="1:3" x14ac:dyDescent="0.3">
      <c r="B28" t="s">
        <v>422</v>
      </c>
      <c r="C28">
        <v>16275</v>
      </c>
    </row>
    <row r="29" spans="1:3" x14ac:dyDescent="0.3">
      <c r="B29" t="s">
        <v>90</v>
      </c>
      <c r="C29">
        <v>14000</v>
      </c>
    </row>
    <row r="30" spans="1:3" x14ac:dyDescent="0.3">
      <c r="B30" t="s">
        <v>547</v>
      </c>
      <c r="C30">
        <v>13912.5</v>
      </c>
    </row>
    <row r="31" spans="1:3" x14ac:dyDescent="0.3">
      <c r="A31" t="s">
        <v>974</v>
      </c>
      <c r="C31">
        <v>15210.416666666666</v>
      </c>
    </row>
    <row r="32" spans="1:3" x14ac:dyDescent="0.3">
      <c r="A32" t="s">
        <v>391</v>
      </c>
      <c r="B32" t="s">
        <v>422</v>
      </c>
      <c r="C32">
        <v>15662.5</v>
      </c>
    </row>
    <row r="33" spans="1:3" x14ac:dyDescent="0.3">
      <c r="B33" t="s">
        <v>506</v>
      </c>
      <c r="C33">
        <v>14233.333333333334</v>
      </c>
    </row>
    <row r="34" spans="1:3" x14ac:dyDescent="0.3">
      <c r="B34" t="s">
        <v>547</v>
      </c>
      <c r="C34">
        <v>13941.666666666666</v>
      </c>
    </row>
    <row r="35" spans="1:3" x14ac:dyDescent="0.3">
      <c r="B35" t="s">
        <v>90</v>
      </c>
      <c r="C35">
        <v>12600</v>
      </c>
    </row>
    <row r="36" spans="1:3" x14ac:dyDescent="0.3">
      <c r="A36" t="s">
        <v>975</v>
      </c>
      <c r="C36">
        <v>14566.176470588236</v>
      </c>
    </row>
    <row r="37" spans="1:3" x14ac:dyDescent="0.3">
      <c r="A37" t="s">
        <v>363</v>
      </c>
      <c r="B37" t="s">
        <v>90</v>
      </c>
      <c r="C37">
        <v>19833.333333333332</v>
      </c>
    </row>
    <row r="38" spans="1:3" x14ac:dyDescent="0.3">
      <c r="B38" t="s">
        <v>422</v>
      </c>
      <c r="C38">
        <v>17750.142857142859</v>
      </c>
    </row>
    <row r="39" spans="1:3" x14ac:dyDescent="0.3">
      <c r="B39" t="s">
        <v>547</v>
      </c>
      <c r="C39">
        <v>15750</v>
      </c>
    </row>
    <row r="40" spans="1:3" x14ac:dyDescent="0.3">
      <c r="B40" t="s">
        <v>506</v>
      </c>
      <c r="C40">
        <v>13956.25</v>
      </c>
    </row>
    <row r="41" spans="1:3" x14ac:dyDescent="0.3">
      <c r="A41" t="s">
        <v>976</v>
      </c>
      <c r="C41">
        <v>16872.117647058825</v>
      </c>
    </row>
    <row r="42" spans="1:3" x14ac:dyDescent="0.3">
      <c r="A42" t="s">
        <v>866</v>
      </c>
      <c r="C42">
        <v>15524.26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533C-2AB2-4880-A6F6-2BDF7684B492}">
  <dimension ref="A2:B78"/>
  <sheetViews>
    <sheetView topLeftCell="A4"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359</v>
      </c>
      <c r="B2" t="s">
        <v>967</v>
      </c>
    </row>
    <row r="3" spans="1:2" x14ac:dyDescent="0.3">
      <c r="A3" s="135">
        <v>28126</v>
      </c>
      <c r="B3">
        <v>19687.5</v>
      </c>
    </row>
    <row r="4" spans="1:2" x14ac:dyDescent="0.3">
      <c r="A4" s="135">
        <v>28326</v>
      </c>
      <c r="B4">
        <v>15750</v>
      </c>
    </row>
    <row r="5" spans="1:2" x14ac:dyDescent="0.3">
      <c r="A5" s="135">
        <v>28907</v>
      </c>
      <c r="B5">
        <v>22750</v>
      </c>
    </row>
    <row r="6" spans="1:2" x14ac:dyDescent="0.3">
      <c r="A6" s="135">
        <v>29172</v>
      </c>
      <c r="B6">
        <v>22750</v>
      </c>
    </row>
    <row r="7" spans="1:2" x14ac:dyDescent="0.3">
      <c r="A7" s="135">
        <v>29183</v>
      </c>
      <c r="B7">
        <v>12250</v>
      </c>
    </row>
    <row r="8" spans="1:2" x14ac:dyDescent="0.3">
      <c r="A8" s="135">
        <v>29226</v>
      </c>
      <c r="B8">
        <v>22750</v>
      </c>
    </row>
    <row r="9" spans="1:2" x14ac:dyDescent="0.3">
      <c r="A9" s="135">
        <v>29362</v>
      </c>
      <c r="B9">
        <v>14875</v>
      </c>
    </row>
    <row r="10" spans="1:2" x14ac:dyDescent="0.3">
      <c r="A10" s="135">
        <v>30225</v>
      </c>
      <c r="B10">
        <v>20708.333333333332</v>
      </c>
    </row>
    <row r="11" spans="1:2" x14ac:dyDescent="0.3">
      <c r="A11" s="135">
        <v>30376</v>
      </c>
      <c r="B11">
        <v>17500</v>
      </c>
    </row>
    <row r="12" spans="1:2" x14ac:dyDescent="0.3">
      <c r="A12" s="135">
        <v>31027</v>
      </c>
      <c r="B12">
        <v>19250</v>
      </c>
    </row>
    <row r="13" spans="1:2" x14ac:dyDescent="0.3">
      <c r="A13" s="135">
        <v>31028</v>
      </c>
      <c r="B13">
        <v>49000</v>
      </c>
    </row>
    <row r="14" spans="1:2" x14ac:dyDescent="0.3">
      <c r="A14" s="135">
        <v>31029</v>
      </c>
      <c r="B14">
        <v>14875</v>
      </c>
    </row>
    <row r="15" spans="1:2" x14ac:dyDescent="0.3">
      <c r="A15" s="135">
        <v>31030</v>
      </c>
      <c r="B15">
        <v>14875</v>
      </c>
    </row>
    <row r="16" spans="1:2" x14ac:dyDescent="0.3">
      <c r="A16" s="135">
        <v>31402</v>
      </c>
      <c r="B16">
        <v>14875</v>
      </c>
    </row>
    <row r="17" spans="1:2" x14ac:dyDescent="0.3">
      <c r="A17" s="135">
        <v>31637</v>
      </c>
      <c r="B17">
        <v>10500</v>
      </c>
    </row>
    <row r="18" spans="1:2" x14ac:dyDescent="0.3">
      <c r="A18" s="135">
        <v>31717</v>
      </c>
      <c r="B18">
        <v>15750</v>
      </c>
    </row>
    <row r="19" spans="1:2" x14ac:dyDescent="0.3">
      <c r="A19" s="135">
        <v>31791</v>
      </c>
      <c r="B19">
        <v>19250</v>
      </c>
    </row>
    <row r="20" spans="1:2" x14ac:dyDescent="0.3">
      <c r="A20" s="135">
        <v>32105</v>
      </c>
      <c r="B20">
        <v>19250</v>
      </c>
    </row>
    <row r="21" spans="1:2" x14ac:dyDescent="0.3">
      <c r="A21" s="135">
        <v>32106</v>
      </c>
      <c r="B21">
        <v>19250</v>
      </c>
    </row>
    <row r="22" spans="1:2" x14ac:dyDescent="0.3">
      <c r="A22" s="135">
        <v>32107</v>
      </c>
      <c r="B22">
        <v>19251</v>
      </c>
    </row>
    <row r="23" spans="1:2" x14ac:dyDescent="0.3">
      <c r="A23" s="135">
        <v>32180</v>
      </c>
      <c r="B23">
        <v>15750</v>
      </c>
    </row>
    <row r="24" spans="1:2" x14ac:dyDescent="0.3">
      <c r="A24" s="135">
        <v>32390</v>
      </c>
      <c r="B24">
        <v>12425</v>
      </c>
    </row>
    <row r="25" spans="1:2" x14ac:dyDescent="0.3">
      <c r="A25" s="135">
        <v>32435</v>
      </c>
      <c r="B25">
        <v>15435</v>
      </c>
    </row>
    <row r="26" spans="1:2" x14ac:dyDescent="0.3">
      <c r="A26" s="135">
        <v>32436</v>
      </c>
      <c r="B26">
        <v>15750</v>
      </c>
    </row>
    <row r="27" spans="1:2" x14ac:dyDescent="0.3">
      <c r="A27" s="135">
        <v>32437</v>
      </c>
      <c r="B27">
        <v>19250</v>
      </c>
    </row>
    <row r="28" spans="1:2" x14ac:dyDescent="0.3">
      <c r="A28" s="135">
        <v>32438</v>
      </c>
      <c r="B28">
        <v>17500</v>
      </c>
    </row>
    <row r="29" spans="1:2" x14ac:dyDescent="0.3">
      <c r="A29" s="135">
        <v>32439</v>
      </c>
      <c r="B29">
        <v>17500</v>
      </c>
    </row>
    <row r="30" spans="1:2" x14ac:dyDescent="0.3">
      <c r="A30" s="135">
        <v>32440</v>
      </c>
      <c r="B30">
        <v>17500</v>
      </c>
    </row>
    <row r="31" spans="1:2" x14ac:dyDescent="0.3">
      <c r="A31" s="135">
        <v>32441</v>
      </c>
      <c r="B31">
        <v>17500</v>
      </c>
    </row>
    <row r="32" spans="1:2" x14ac:dyDescent="0.3">
      <c r="A32" s="135">
        <v>32442</v>
      </c>
      <c r="B32">
        <v>17500</v>
      </c>
    </row>
    <row r="33" spans="1:2" x14ac:dyDescent="0.3">
      <c r="A33" s="135">
        <v>32443</v>
      </c>
      <c r="B33">
        <v>17500</v>
      </c>
    </row>
    <row r="34" spans="1:2" x14ac:dyDescent="0.3">
      <c r="A34" s="135">
        <v>32444</v>
      </c>
      <c r="B34">
        <v>18812.5</v>
      </c>
    </row>
    <row r="35" spans="1:2" x14ac:dyDescent="0.3">
      <c r="A35" s="135">
        <v>32445</v>
      </c>
      <c r="B35">
        <v>17500</v>
      </c>
    </row>
    <row r="36" spans="1:2" x14ac:dyDescent="0.3">
      <c r="A36" s="135">
        <v>32446</v>
      </c>
      <c r="B36">
        <v>17500</v>
      </c>
    </row>
    <row r="37" spans="1:2" x14ac:dyDescent="0.3">
      <c r="A37" s="135">
        <v>32447</v>
      </c>
      <c r="B37">
        <v>17500</v>
      </c>
    </row>
    <row r="38" spans="1:2" x14ac:dyDescent="0.3">
      <c r="A38" s="135">
        <v>32448</v>
      </c>
      <c r="B38">
        <v>17500</v>
      </c>
    </row>
    <row r="39" spans="1:2" x14ac:dyDescent="0.3">
      <c r="A39" s="135">
        <v>32603</v>
      </c>
      <c r="B39">
        <v>17325</v>
      </c>
    </row>
    <row r="40" spans="1:2" x14ac:dyDescent="0.3">
      <c r="A40" s="135">
        <v>32604</v>
      </c>
      <c r="B40">
        <v>17325</v>
      </c>
    </row>
    <row r="41" spans="1:2" x14ac:dyDescent="0.3">
      <c r="A41" s="135">
        <v>32605</v>
      </c>
      <c r="B41">
        <v>17325</v>
      </c>
    </row>
    <row r="42" spans="1:2" x14ac:dyDescent="0.3">
      <c r="A42" s="135">
        <v>32606</v>
      </c>
      <c r="B42">
        <v>17325</v>
      </c>
    </row>
    <row r="43" spans="1:2" x14ac:dyDescent="0.3">
      <c r="A43" s="135">
        <v>32607</v>
      </c>
      <c r="B43">
        <v>17325</v>
      </c>
    </row>
    <row r="44" spans="1:2" x14ac:dyDescent="0.3">
      <c r="A44" s="135">
        <v>32608</v>
      </c>
      <c r="B44">
        <v>17325</v>
      </c>
    </row>
    <row r="45" spans="1:2" x14ac:dyDescent="0.3">
      <c r="A45" s="135">
        <v>32609</v>
      </c>
      <c r="B45">
        <v>17325</v>
      </c>
    </row>
    <row r="46" spans="1:2" x14ac:dyDescent="0.3">
      <c r="A46" s="135">
        <v>32755</v>
      </c>
      <c r="B46">
        <v>16712.5</v>
      </c>
    </row>
    <row r="47" spans="1:2" x14ac:dyDescent="0.3">
      <c r="A47" s="135">
        <v>33102</v>
      </c>
      <c r="B47">
        <v>12425</v>
      </c>
    </row>
    <row r="48" spans="1:2" x14ac:dyDescent="0.3">
      <c r="A48" s="135">
        <v>33182</v>
      </c>
      <c r="B48">
        <v>17500</v>
      </c>
    </row>
    <row r="49" spans="1:2" x14ac:dyDescent="0.3">
      <c r="A49" s="135">
        <v>33194</v>
      </c>
      <c r="B49">
        <v>13825</v>
      </c>
    </row>
    <row r="50" spans="1:2" x14ac:dyDescent="0.3">
      <c r="A50" s="135">
        <v>33510</v>
      </c>
      <c r="B50">
        <v>12075</v>
      </c>
    </row>
    <row r="51" spans="1:2" x14ac:dyDescent="0.3">
      <c r="A51" s="135">
        <v>33729</v>
      </c>
      <c r="B51">
        <v>9275</v>
      </c>
    </row>
    <row r="52" spans="1:2" x14ac:dyDescent="0.3">
      <c r="A52" s="135">
        <v>33787</v>
      </c>
      <c r="B52">
        <v>13125</v>
      </c>
    </row>
    <row r="53" spans="1:2" x14ac:dyDescent="0.3">
      <c r="A53" s="135">
        <v>33878</v>
      </c>
      <c r="B53">
        <v>14875</v>
      </c>
    </row>
    <row r="54" spans="1:2" x14ac:dyDescent="0.3">
      <c r="A54" s="135">
        <v>34098</v>
      </c>
      <c r="B54">
        <v>14875</v>
      </c>
    </row>
    <row r="55" spans="1:2" x14ac:dyDescent="0.3">
      <c r="A55" s="135">
        <v>34580</v>
      </c>
      <c r="B55">
        <v>11725</v>
      </c>
    </row>
    <row r="56" spans="1:2" x14ac:dyDescent="0.3">
      <c r="A56" s="135">
        <v>34761</v>
      </c>
      <c r="B56">
        <v>14875</v>
      </c>
    </row>
    <row r="57" spans="1:2" x14ac:dyDescent="0.3">
      <c r="A57" s="135">
        <v>34762</v>
      </c>
      <c r="B57">
        <v>14000</v>
      </c>
    </row>
    <row r="58" spans="1:2" x14ac:dyDescent="0.3">
      <c r="A58" s="135">
        <v>34763</v>
      </c>
      <c r="B58">
        <v>14000</v>
      </c>
    </row>
    <row r="59" spans="1:2" x14ac:dyDescent="0.3">
      <c r="A59" s="135">
        <v>34777</v>
      </c>
      <c r="B59">
        <v>10500</v>
      </c>
    </row>
    <row r="60" spans="1:2" x14ac:dyDescent="0.3">
      <c r="A60" s="135">
        <v>35034</v>
      </c>
      <c r="B60">
        <v>14875</v>
      </c>
    </row>
    <row r="61" spans="1:2" x14ac:dyDescent="0.3">
      <c r="A61" s="135">
        <v>35189</v>
      </c>
      <c r="B61">
        <v>9625</v>
      </c>
    </row>
    <row r="62" spans="1:2" x14ac:dyDescent="0.3">
      <c r="A62" s="135">
        <v>35595</v>
      </c>
      <c r="B62">
        <v>7875</v>
      </c>
    </row>
    <row r="63" spans="1:2" x14ac:dyDescent="0.3">
      <c r="A63" s="135">
        <v>35618</v>
      </c>
      <c r="B63">
        <v>9187.5</v>
      </c>
    </row>
    <row r="64" spans="1:2" x14ac:dyDescent="0.3">
      <c r="A64" s="135">
        <v>35794</v>
      </c>
      <c r="B64">
        <v>9187.5</v>
      </c>
    </row>
    <row r="65" spans="1:2" x14ac:dyDescent="0.3">
      <c r="A65" s="135">
        <v>35809</v>
      </c>
      <c r="B65">
        <v>7000</v>
      </c>
    </row>
    <row r="66" spans="1:2" x14ac:dyDescent="0.3">
      <c r="A66" s="135">
        <v>35810</v>
      </c>
      <c r="B66">
        <v>17500</v>
      </c>
    </row>
    <row r="67" spans="1:2" x14ac:dyDescent="0.3">
      <c r="A67" s="135">
        <v>35811</v>
      </c>
      <c r="B67">
        <v>17500</v>
      </c>
    </row>
    <row r="68" spans="1:2" x14ac:dyDescent="0.3">
      <c r="A68" s="135">
        <v>36193</v>
      </c>
      <c r="B68">
        <v>7875</v>
      </c>
    </row>
    <row r="69" spans="1:2" x14ac:dyDescent="0.3">
      <c r="A69" s="135">
        <v>36220</v>
      </c>
      <c r="B69">
        <v>7000</v>
      </c>
    </row>
    <row r="70" spans="1:2" x14ac:dyDescent="0.3">
      <c r="A70" s="135">
        <v>36221</v>
      </c>
      <c r="B70">
        <v>7000</v>
      </c>
    </row>
    <row r="71" spans="1:2" x14ac:dyDescent="0.3">
      <c r="A71" s="135">
        <v>36222</v>
      </c>
      <c r="B71">
        <v>7000</v>
      </c>
    </row>
    <row r="72" spans="1:2" x14ac:dyDescent="0.3">
      <c r="A72" s="135">
        <v>36274</v>
      </c>
      <c r="B72">
        <v>7875</v>
      </c>
    </row>
    <row r="73" spans="1:2" x14ac:dyDescent="0.3">
      <c r="A73" s="135">
        <v>36316</v>
      </c>
      <c r="B73">
        <v>5950</v>
      </c>
    </row>
    <row r="74" spans="1:2" x14ac:dyDescent="0.3">
      <c r="A74" s="135">
        <v>36317</v>
      </c>
      <c r="B74">
        <v>7875</v>
      </c>
    </row>
    <row r="75" spans="1:2" x14ac:dyDescent="0.3">
      <c r="A75" s="135">
        <v>36318</v>
      </c>
      <c r="B75">
        <v>7875</v>
      </c>
    </row>
    <row r="76" spans="1:2" x14ac:dyDescent="0.3">
      <c r="A76" s="135">
        <v>36319</v>
      </c>
      <c r="B76">
        <v>7875</v>
      </c>
    </row>
    <row r="77" spans="1:2" x14ac:dyDescent="0.3">
      <c r="A77" s="135">
        <v>36506</v>
      </c>
      <c r="B77">
        <v>14875</v>
      </c>
    </row>
    <row r="78" spans="1:2" x14ac:dyDescent="0.3">
      <c r="A78" s="135" t="s">
        <v>866</v>
      </c>
      <c r="B78">
        <v>15524.26</v>
      </c>
    </row>
  </sheetData>
  <pageMargins left="0.7" right="0.7" top="0.75" bottom="0.75" header="0.3" footer="0.3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093D-4642-4545-AD18-62BF605FFC2A}">
  <dimension ref="A2:B12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357</v>
      </c>
      <c r="B2" t="s">
        <v>967</v>
      </c>
    </row>
    <row r="3" spans="1:2" x14ac:dyDescent="0.3">
      <c r="A3" t="s">
        <v>508</v>
      </c>
      <c r="B3">
        <v>49000</v>
      </c>
    </row>
    <row r="4" spans="1:2" x14ac:dyDescent="0.3">
      <c r="A4" t="s">
        <v>371</v>
      </c>
      <c r="B4">
        <v>18000</v>
      </c>
    </row>
    <row r="5" spans="1:2" x14ac:dyDescent="0.3">
      <c r="A5" t="s">
        <v>954</v>
      </c>
      <c r="B5">
        <v>17500</v>
      </c>
    </row>
    <row r="6" spans="1:2" x14ac:dyDescent="0.3">
      <c r="A6" t="s">
        <v>363</v>
      </c>
      <c r="B6">
        <v>16872.117647058825</v>
      </c>
    </row>
    <row r="7" spans="1:2" x14ac:dyDescent="0.3">
      <c r="A7" t="s">
        <v>384</v>
      </c>
      <c r="B7">
        <v>15210.416666666666</v>
      </c>
    </row>
    <row r="8" spans="1:2" x14ac:dyDescent="0.3">
      <c r="A8" t="s">
        <v>397</v>
      </c>
      <c r="B8">
        <v>15082.8125</v>
      </c>
    </row>
    <row r="9" spans="1:2" x14ac:dyDescent="0.3">
      <c r="A9" t="s">
        <v>375</v>
      </c>
      <c r="B9">
        <v>14652.272727272728</v>
      </c>
    </row>
    <row r="10" spans="1:2" x14ac:dyDescent="0.3">
      <c r="A10" t="s">
        <v>391</v>
      </c>
      <c r="B10">
        <v>14566.176470588236</v>
      </c>
    </row>
    <row r="11" spans="1:2" x14ac:dyDescent="0.3">
      <c r="A11" t="s">
        <v>367</v>
      </c>
      <c r="B11">
        <v>13358.333333333334</v>
      </c>
    </row>
    <row r="12" spans="1:2" x14ac:dyDescent="0.3">
      <c r="A12" t="s">
        <v>866</v>
      </c>
      <c r="B12">
        <v>15524.26</v>
      </c>
    </row>
  </sheetData>
  <pageMargins left="0.7" right="0.7" top="0.75" bottom="0.75" header="0.3" footer="0.3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9244-AE68-4FBB-919A-E1EFD72BE825}">
  <dimension ref="A2:B21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357</v>
      </c>
      <c r="B2" t="s">
        <v>391</v>
      </c>
    </row>
    <row r="4" spans="1:2" x14ac:dyDescent="0.3">
      <c r="A4" s="133" t="s">
        <v>359</v>
      </c>
      <c r="B4" t="s">
        <v>967</v>
      </c>
    </row>
    <row r="5" spans="1:2" x14ac:dyDescent="0.3">
      <c r="A5" s="135">
        <v>29226</v>
      </c>
      <c r="B5">
        <v>22750</v>
      </c>
    </row>
    <row r="6" spans="1:2" x14ac:dyDescent="0.3">
      <c r="A6" s="135">
        <v>30225</v>
      </c>
      <c r="B6">
        <v>15750</v>
      </c>
    </row>
    <row r="7" spans="1:2" x14ac:dyDescent="0.3">
      <c r="A7" s="135">
        <v>32438</v>
      </c>
      <c r="B7">
        <v>17500</v>
      </c>
    </row>
    <row r="8" spans="1:2" x14ac:dyDescent="0.3">
      <c r="A8" s="135">
        <v>32440</v>
      </c>
      <c r="B8">
        <v>17500</v>
      </c>
    </row>
    <row r="9" spans="1:2" x14ac:dyDescent="0.3">
      <c r="A9" s="135">
        <v>32443</v>
      </c>
      <c r="B9">
        <v>17500</v>
      </c>
    </row>
    <row r="10" spans="1:2" x14ac:dyDescent="0.3">
      <c r="A10" s="135">
        <v>32448</v>
      </c>
      <c r="B10">
        <v>17500</v>
      </c>
    </row>
    <row r="11" spans="1:2" x14ac:dyDescent="0.3">
      <c r="A11" s="135">
        <v>32607</v>
      </c>
      <c r="B11">
        <v>17325</v>
      </c>
    </row>
    <row r="12" spans="1:2" x14ac:dyDescent="0.3">
      <c r="A12" s="135">
        <v>32608</v>
      </c>
      <c r="B12">
        <v>17325</v>
      </c>
    </row>
    <row r="13" spans="1:2" x14ac:dyDescent="0.3">
      <c r="A13" s="135">
        <v>32755</v>
      </c>
      <c r="B13">
        <v>16712.5</v>
      </c>
    </row>
    <row r="14" spans="1:2" x14ac:dyDescent="0.3">
      <c r="A14" s="135">
        <v>33510</v>
      </c>
      <c r="B14">
        <v>13300</v>
      </c>
    </row>
    <row r="15" spans="1:2" x14ac:dyDescent="0.3">
      <c r="A15" s="135">
        <v>34763</v>
      </c>
      <c r="B15">
        <v>14000</v>
      </c>
    </row>
    <row r="16" spans="1:2" x14ac:dyDescent="0.3">
      <c r="A16" s="135">
        <v>34777</v>
      </c>
      <c r="B16">
        <v>10500</v>
      </c>
    </row>
    <row r="17" spans="1:2" x14ac:dyDescent="0.3">
      <c r="A17" s="135">
        <v>35618</v>
      </c>
      <c r="B17">
        <v>11375</v>
      </c>
    </row>
    <row r="18" spans="1:2" x14ac:dyDescent="0.3">
      <c r="A18" s="135">
        <v>35809</v>
      </c>
      <c r="B18">
        <v>7000</v>
      </c>
    </row>
    <row r="19" spans="1:2" x14ac:dyDescent="0.3">
      <c r="A19" s="135">
        <v>36222</v>
      </c>
      <c r="B19">
        <v>7000</v>
      </c>
    </row>
    <row r="20" spans="1:2" x14ac:dyDescent="0.3">
      <c r="A20" s="135">
        <v>36274</v>
      </c>
      <c r="B20">
        <v>7875</v>
      </c>
    </row>
    <row r="21" spans="1:2" x14ac:dyDescent="0.3">
      <c r="A21" s="135" t="s">
        <v>866</v>
      </c>
      <c r="B21">
        <v>14566.176470588236</v>
      </c>
    </row>
  </sheetData>
  <pageMargins left="0.7" right="0.7" top="0.75" bottom="0.75" header="0.3" footer="0.3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6FB49-28EA-4772-B7EA-29D3CEDB64F7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319</v>
      </c>
      <c r="B2" t="s">
        <v>403</v>
      </c>
    </row>
    <row r="4" spans="1:2" x14ac:dyDescent="0.3">
      <c r="A4" s="133" t="s">
        <v>84</v>
      </c>
      <c r="B4" t="s">
        <v>967</v>
      </c>
    </row>
    <row r="5" spans="1:2" x14ac:dyDescent="0.3">
      <c r="A5" t="s">
        <v>506</v>
      </c>
      <c r="B5">
        <v>49000</v>
      </c>
    </row>
    <row r="6" spans="1:2" x14ac:dyDescent="0.3">
      <c r="A6" t="s">
        <v>90</v>
      </c>
      <c r="B6">
        <v>17500</v>
      </c>
    </row>
    <row r="7" spans="1:2" x14ac:dyDescent="0.3">
      <c r="A7" t="s">
        <v>422</v>
      </c>
      <c r="B7">
        <v>14000</v>
      </c>
    </row>
    <row r="8" spans="1:2" x14ac:dyDescent="0.3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B430-7B38-4DA8-88B5-1F32D2B1DC00}">
  <dimension ref="A2:B19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357</v>
      </c>
      <c r="B2" t="s">
        <v>397</v>
      </c>
    </row>
    <row r="4" spans="1:2" x14ac:dyDescent="0.3">
      <c r="A4" s="133" t="s">
        <v>359</v>
      </c>
      <c r="B4" t="s">
        <v>967</v>
      </c>
    </row>
    <row r="5" spans="1:2" x14ac:dyDescent="0.3">
      <c r="A5" s="135">
        <v>30225</v>
      </c>
      <c r="B5">
        <v>15750</v>
      </c>
    </row>
    <row r="6" spans="1:2" x14ac:dyDescent="0.3">
      <c r="A6" s="135">
        <v>31717</v>
      </c>
      <c r="B6">
        <v>15750</v>
      </c>
    </row>
    <row r="7" spans="1:2" x14ac:dyDescent="0.3">
      <c r="A7" s="135">
        <v>32435</v>
      </c>
      <c r="B7">
        <v>15750</v>
      </c>
    </row>
    <row r="8" spans="1:2" x14ac:dyDescent="0.3">
      <c r="A8" s="135">
        <v>32437</v>
      </c>
      <c r="B8">
        <v>19250</v>
      </c>
    </row>
    <row r="9" spans="1:2" x14ac:dyDescent="0.3">
      <c r="A9" s="135">
        <v>32439</v>
      </c>
      <c r="B9">
        <v>17500</v>
      </c>
    </row>
    <row r="10" spans="1:2" x14ac:dyDescent="0.3">
      <c r="A10" s="135">
        <v>32442</v>
      </c>
      <c r="B10">
        <v>17500</v>
      </c>
    </row>
    <row r="11" spans="1:2" x14ac:dyDescent="0.3">
      <c r="A11" s="135">
        <v>32447</v>
      </c>
      <c r="B11">
        <v>17500</v>
      </c>
    </row>
    <row r="12" spans="1:2" x14ac:dyDescent="0.3">
      <c r="A12" s="135">
        <v>32609</v>
      </c>
      <c r="B12">
        <v>17325</v>
      </c>
    </row>
    <row r="13" spans="1:2" x14ac:dyDescent="0.3">
      <c r="A13" s="135">
        <v>33510</v>
      </c>
      <c r="B13">
        <v>8750</v>
      </c>
    </row>
    <row r="14" spans="1:2" x14ac:dyDescent="0.3">
      <c r="A14" s="135">
        <v>34761</v>
      </c>
      <c r="B14">
        <v>15750</v>
      </c>
    </row>
    <row r="15" spans="1:2" x14ac:dyDescent="0.3">
      <c r="A15" s="135">
        <v>35034</v>
      </c>
      <c r="B15">
        <v>15750</v>
      </c>
    </row>
    <row r="16" spans="1:2" x14ac:dyDescent="0.3">
      <c r="A16" s="135">
        <v>35618</v>
      </c>
      <c r="B16">
        <v>7000</v>
      </c>
    </row>
    <row r="17" spans="1:2" x14ac:dyDescent="0.3">
      <c r="A17" s="135">
        <v>35810</v>
      </c>
      <c r="B17">
        <v>17500</v>
      </c>
    </row>
    <row r="18" spans="1:2" x14ac:dyDescent="0.3">
      <c r="A18" s="135">
        <v>36221</v>
      </c>
      <c r="B18">
        <v>7000</v>
      </c>
    </row>
    <row r="19" spans="1:2" x14ac:dyDescent="0.3">
      <c r="A19" s="135" t="s">
        <v>866</v>
      </c>
      <c r="B19">
        <v>15082.8125</v>
      </c>
    </row>
  </sheetData>
  <pageMargins left="0.7" right="0.7" top="0.75" bottom="0.75" header="0.3" footer="0.3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AB78-93DC-4707-AE7B-5A95012A3428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319</v>
      </c>
      <c r="B2" t="s">
        <v>403</v>
      </c>
    </row>
    <row r="4" spans="1:2" x14ac:dyDescent="0.3">
      <c r="A4" s="133" t="s">
        <v>356</v>
      </c>
      <c r="B4" t="s">
        <v>967</v>
      </c>
    </row>
    <row r="5" spans="1:2" x14ac:dyDescent="0.3">
      <c r="A5">
        <v>14</v>
      </c>
      <c r="B5">
        <v>49000</v>
      </c>
    </row>
    <row r="6" spans="1:2" x14ac:dyDescent="0.3">
      <c r="A6">
        <v>65</v>
      </c>
      <c r="B6">
        <v>17500</v>
      </c>
    </row>
    <row r="7" spans="1:2" x14ac:dyDescent="0.3">
      <c r="A7">
        <v>68</v>
      </c>
      <c r="B7">
        <v>14000</v>
      </c>
    </row>
    <row r="8" spans="1:2" x14ac:dyDescent="0.3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18CA-59B9-4013-A02D-F9913AEDDDC3}">
  <dimension ref="A2:B9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319</v>
      </c>
      <c r="B2" t="s">
        <v>485</v>
      </c>
    </row>
    <row r="4" spans="1:2" x14ac:dyDescent="0.3">
      <c r="A4" s="133" t="s">
        <v>356</v>
      </c>
      <c r="B4" t="s">
        <v>967</v>
      </c>
    </row>
    <row r="5" spans="1:2" x14ac:dyDescent="0.3">
      <c r="A5">
        <v>66</v>
      </c>
      <c r="B5">
        <v>17500</v>
      </c>
    </row>
    <row r="6" spans="1:2" x14ac:dyDescent="0.3">
      <c r="A6">
        <v>77</v>
      </c>
      <c r="B6">
        <v>17500</v>
      </c>
    </row>
    <row r="7" spans="1:2" x14ac:dyDescent="0.3">
      <c r="A7">
        <v>99</v>
      </c>
      <c r="B7">
        <v>10500</v>
      </c>
    </row>
    <row r="8" spans="1:2" x14ac:dyDescent="0.3">
      <c r="A8">
        <v>83</v>
      </c>
      <c r="B8">
        <v>7000</v>
      </c>
    </row>
    <row r="9" spans="1:2" x14ac:dyDescent="0.3">
      <c r="A9" t="s">
        <v>866</v>
      </c>
      <c r="B9">
        <v>13125</v>
      </c>
    </row>
  </sheetData>
  <pageMargins left="0.7" right="0.7" top="0.75" bottom="0.75" header="0.3" footer="0.3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5869-67FB-42B8-A792-56C79125CFEE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319</v>
      </c>
      <c r="B2" t="s">
        <v>403</v>
      </c>
    </row>
    <row r="4" spans="1:2" x14ac:dyDescent="0.3">
      <c r="A4" s="133" t="s">
        <v>358</v>
      </c>
      <c r="B4" t="s">
        <v>967</v>
      </c>
    </row>
    <row r="5" spans="1:2" x14ac:dyDescent="0.3">
      <c r="A5" t="s">
        <v>509</v>
      </c>
      <c r="B5">
        <v>49000</v>
      </c>
    </row>
    <row r="6" spans="1:2" x14ac:dyDescent="0.3">
      <c r="A6" t="s">
        <v>372</v>
      </c>
      <c r="B6">
        <v>17500</v>
      </c>
    </row>
    <row r="7" spans="1:2" x14ac:dyDescent="0.3">
      <c r="A7" t="s">
        <v>385</v>
      </c>
      <c r="B7">
        <v>14000</v>
      </c>
    </row>
    <row r="8" spans="1:2" x14ac:dyDescent="0.3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4D28-DC83-4DBF-A4D8-6741F3B35F55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33" t="s">
        <v>319</v>
      </c>
      <c r="B2" t="s">
        <v>325</v>
      </c>
    </row>
    <row r="4" spans="1:2" x14ac:dyDescent="0.3">
      <c r="A4" s="133" t="s">
        <v>359</v>
      </c>
      <c r="B4" t="s">
        <v>967</v>
      </c>
    </row>
    <row r="5" spans="1:2" x14ac:dyDescent="0.3">
      <c r="A5" s="135">
        <v>28126</v>
      </c>
      <c r="B5">
        <v>17500</v>
      </c>
    </row>
    <row r="6" spans="1:2" x14ac:dyDescent="0.3">
      <c r="A6" s="135">
        <v>32607</v>
      </c>
      <c r="B6">
        <v>17325</v>
      </c>
    </row>
    <row r="7" spans="1:2" x14ac:dyDescent="0.3">
      <c r="A7" s="135">
        <v>36220</v>
      </c>
      <c r="B7">
        <v>7000</v>
      </c>
    </row>
    <row r="8" spans="1:2" x14ac:dyDescent="0.3">
      <c r="A8" s="135" t="s">
        <v>866</v>
      </c>
      <c r="B8">
        <v>13941.666666666666</v>
      </c>
    </row>
  </sheetData>
  <pageMargins left="0.7" right="0.7" top="0.75" bottom="0.75" header="0.3" footer="0.3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B65F-025B-4A71-AAFB-6748E9954498}">
  <dimension ref="B2:C5"/>
  <sheetViews>
    <sheetView showGridLines="0" workbookViewId="0"/>
  </sheetViews>
  <sheetFormatPr defaultRowHeight="18.75" x14ac:dyDescent="0.3"/>
  <cols>
    <col min="2" max="2" width="2.796875" customWidth="1"/>
    <col min="3" max="3" width="16.796875" bestFit="1" customWidth="1"/>
  </cols>
  <sheetData>
    <row r="2" spans="2:3" x14ac:dyDescent="0.3">
      <c r="B2" s="136" t="s">
        <v>977</v>
      </c>
    </row>
    <row r="4" spans="2:3" x14ac:dyDescent="0.3">
      <c r="C4" s="133" t="s">
        <v>967</v>
      </c>
    </row>
    <row r="5" spans="2:3" x14ac:dyDescent="0.3">
      <c r="C5">
        <v>15524.26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6055B-D4EB-49CD-8BC0-4A1EFC877A5E}">
  <dimension ref="B2:M36"/>
  <sheetViews>
    <sheetView showGridLines="0" workbookViewId="0">
      <selection activeCell="K18" sqref="K18"/>
    </sheetView>
  </sheetViews>
  <sheetFormatPr defaultRowHeight="18.75" x14ac:dyDescent="0.3"/>
  <cols>
    <col min="2" max="2" width="2.796875" customWidth="1"/>
    <col min="3" max="3" width="16.796875" bestFit="1" customWidth="1"/>
    <col min="4" max="12" width="13.59765625" bestFit="1" customWidth="1"/>
    <col min="13" max="13" width="11.69921875" bestFit="1" customWidth="1"/>
  </cols>
  <sheetData>
    <row r="2" spans="2:13" x14ac:dyDescent="0.3">
      <c r="B2" s="136" t="s">
        <v>978</v>
      </c>
    </row>
    <row r="4" spans="2:13" x14ac:dyDescent="0.3">
      <c r="C4" s="133" t="s">
        <v>967</v>
      </c>
      <c r="D4" s="133" t="s">
        <v>357</v>
      </c>
    </row>
    <row r="5" spans="2:13" x14ac:dyDescent="0.3">
      <c r="C5" s="133" t="s">
        <v>358</v>
      </c>
      <c r="D5" t="s">
        <v>375</v>
      </c>
      <c r="E5" t="s">
        <v>397</v>
      </c>
      <c r="F5" t="s">
        <v>508</v>
      </c>
      <c r="G5" t="s">
        <v>371</v>
      </c>
      <c r="H5" t="s">
        <v>954</v>
      </c>
      <c r="I5" t="s">
        <v>367</v>
      </c>
      <c r="J5" t="s">
        <v>384</v>
      </c>
      <c r="K5" t="s">
        <v>391</v>
      </c>
      <c r="L5" t="s">
        <v>363</v>
      </c>
      <c r="M5" t="s">
        <v>866</v>
      </c>
    </row>
    <row r="6" spans="2:13" x14ac:dyDescent="0.3">
      <c r="C6" t="s">
        <v>509</v>
      </c>
      <c r="E6">
        <v>15750</v>
      </c>
      <c r="F6">
        <v>49000</v>
      </c>
      <c r="M6">
        <v>32375</v>
      </c>
    </row>
    <row r="7" spans="2:13" x14ac:dyDescent="0.3">
      <c r="C7" t="s">
        <v>519</v>
      </c>
      <c r="G7">
        <v>24500</v>
      </c>
      <c r="K7">
        <v>17500</v>
      </c>
      <c r="M7">
        <v>21000</v>
      </c>
    </row>
    <row r="8" spans="2:13" x14ac:dyDescent="0.3">
      <c r="C8" t="s">
        <v>429</v>
      </c>
      <c r="D8">
        <v>15750</v>
      </c>
      <c r="K8">
        <v>21000</v>
      </c>
      <c r="L8">
        <v>19251</v>
      </c>
      <c r="M8">
        <v>18667</v>
      </c>
    </row>
    <row r="9" spans="2:13" x14ac:dyDescent="0.3">
      <c r="C9" t="s">
        <v>531</v>
      </c>
      <c r="I9">
        <v>19250</v>
      </c>
      <c r="K9">
        <v>17325</v>
      </c>
      <c r="M9">
        <v>18287.5</v>
      </c>
    </row>
    <row r="10" spans="2:13" x14ac:dyDescent="0.3">
      <c r="C10" t="s">
        <v>463</v>
      </c>
      <c r="E10">
        <v>7000</v>
      </c>
      <c r="G10">
        <v>24500</v>
      </c>
      <c r="L10">
        <v>22750</v>
      </c>
      <c r="M10">
        <v>18083.333333333332</v>
      </c>
    </row>
    <row r="11" spans="2:13" x14ac:dyDescent="0.3">
      <c r="C11" t="s">
        <v>442</v>
      </c>
      <c r="D11">
        <v>21000</v>
      </c>
      <c r="E11">
        <v>17500</v>
      </c>
      <c r="J11">
        <v>14875</v>
      </c>
      <c r="K11">
        <v>17500</v>
      </c>
      <c r="L11">
        <v>15750</v>
      </c>
      <c r="M11">
        <v>17325</v>
      </c>
    </row>
    <row r="12" spans="2:13" x14ac:dyDescent="0.3">
      <c r="C12" t="s">
        <v>423</v>
      </c>
      <c r="I12">
        <v>17500</v>
      </c>
      <c r="K12">
        <v>11375</v>
      </c>
      <c r="L12">
        <v>21875</v>
      </c>
      <c r="M12">
        <v>16916.666666666668</v>
      </c>
    </row>
    <row r="13" spans="2:13" x14ac:dyDescent="0.3">
      <c r="C13" t="s">
        <v>364</v>
      </c>
      <c r="D13">
        <v>15750</v>
      </c>
      <c r="H13">
        <v>17500</v>
      </c>
      <c r="J13">
        <v>13825</v>
      </c>
      <c r="K13">
        <v>17500</v>
      </c>
      <c r="L13">
        <v>19250</v>
      </c>
      <c r="M13">
        <v>16765</v>
      </c>
    </row>
    <row r="14" spans="2:13" x14ac:dyDescent="0.3">
      <c r="C14" t="s">
        <v>515</v>
      </c>
      <c r="D14">
        <v>19250</v>
      </c>
      <c r="I14">
        <v>17325</v>
      </c>
      <c r="L14">
        <v>15225</v>
      </c>
      <c r="M14">
        <v>16756.25</v>
      </c>
    </row>
    <row r="15" spans="2:13" x14ac:dyDescent="0.3">
      <c r="C15" t="s">
        <v>385</v>
      </c>
      <c r="E15">
        <v>17325</v>
      </c>
      <c r="G15">
        <v>24500</v>
      </c>
      <c r="I15">
        <v>14875</v>
      </c>
      <c r="J15">
        <v>14000</v>
      </c>
      <c r="K15">
        <v>17500</v>
      </c>
      <c r="L15">
        <v>14000</v>
      </c>
      <c r="M15">
        <v>16725</v>
      </c>
    </row>
    <row r="16" spans="2:13" x14ac:dyDescent="0.3">
      <c r="C16" t="s">
        <v>398</v>
      </c>
      <c r="E16">
        <v>15750</v>
      </c>
      <c r="I16">
        <v>17325</v>
      </c>
      <c r="M16">
        <v>16537.5</v>
      </c>
    </row>
    <row r="17" spans="3:13" x14ac:dyDescent="0.3">
      <c r="C17" t="s">
        <v>526</v>
      </c>
      <c r="E17">
        <v>17500</v>
      </c>
      <c r="L17">
        <v>14875</v>
      </c>
      <c r="M17">
        <v>16187.5</v>
      </c>
    </row>
    <row r="18" spans="3:13" x14ac:dyDescent="0.3">
      <c r="C18" t="s">
        <v>568</v>
      </c>
      <c r="E18">
        <v>15750</v>
      </c>
      <c r="K18">
        <v>17325</v>
      </c>
      <c r="L18">
        <v>14875</v>
      </c>
      <c r="M18">
        <v>15983.333333333334</v>
      </c>
    </row>
    <row r="19" spans="3:13" x14ac:dyDescent="0.3">
      <c r="C19" t="s">
        <v>460</v>
      </c>
      <c r="E19">
        <v>14000</v>
      </c>
      <c r="J19">
        <v>20125</v>
      </c>
      <c r="L19">
        <v>15750</v>
      </c>
      <c r="M19">
        <v>15968.75</v>
      </c>
    </row>
    <row r="20" spans="3:13" x14ac:dyDescent="0.3">
      <c r="C20" t="s">
        <v>372</v>
      </c>
      <c r="D20">
        <v>17500</v>
      </c>
      <c r="E20">
        <v>17500</v>
      </c>
      <c r="G20">
        <v>19250</v>
      </c>
      <c r="I20">
        <v>14000</v>
      </c>
      <c r="K20">
        <v>10150</v>
      </c>
      <c r="L20">
        <v>22750</v>
      </c>
      <c r="M20">
        <v>15900</v>
      </c>
    </row>
    <row r="21" spans="3:13" x14ac:dyDescent="0.3">
      <c r="C21" t="s">
        <v>573</v>
      </c>
      <c r="E21">
        <v>17500</v>
      </c>
      <c r="K21">
        <v>14000</v>
      </c>
      <c r="M21">
        <v>15750</v>
      </c>
    </row>
    <row r="22" spans="3:13" x14ac:dyDescent="0.3">
      <c r="C22" t="s">
        <v>564</v>
      </c>
      <c r="E22">
        <v>15750</v>
      </c>
      <c r="J22">
        <v>15750</v>
      </c>
      <c r="M22">
        <v>15750</v>
      </c>
    </row>
    <row r="23" spans="3:13" x14ac:dyDescent="0.3">
      <c r="C23" t="s">
        <v>401</v>
      </c>
      <c r="E23">
        <v>15750</v>
      </c>
      <c r="M23">
        <v>15750</v>
      </c>
    </row>
    <row r="24" spans="3:13" x14ac:dyDescent="0.3">
      <c r="C24" t="s">
        <v>436</v>
      </c>
      <c r="D24">
        <v>19250</v>
      </c>
      <c r="I24">
        <v>17500</v>
      </c>
      <c r="J24">
        <v>17500</v>
      </c>
      <c r="K24">
        <v>11725</v>
      </c>
      <c r="M24">
        <v>14904.166666666666</v>
      </c>
    </row>
    <row r="25" spans="3:13" x14ac:dyDescent="0.3">
      <c r="C25" t="s">
        <v>561</v>
      </c>
      <c r="I25">
        <v>17325</v>
      </c>
      <c r="J25">
        <v>11725</v>
      </c>
      <c r="M25">
        <v>14525</v>
      </c>
    </row>
    <row r="26" spans="3:13" x14ac:dyDescent="0.3">
      <c r="C26" t="s">
        <v>447</v>
      </c>
      <c r="D26">
        <v>9625</v>
      </c>
      <c r="E26">
        <v>17500</v>
      </c>
      <c r="I26">
        <v>5950</v>
      </c>
      <c r="J26">
        <v>14875</v>
      </c>
      <c r="K26">
        <v>22750</v>
      </c>
      <c r="M26">
        <v>14140</v>
      </c>
    </row>
    <row r="27" spans="3:13" x14ac:dyDescent="0.3">
      <c r="C27" t="s">
        <v>368</v>
      </c>
      <c r="D27">
        <v>7875</v>
      </c>
      <c r="I27">
        <v>15750</v>
      </c>
      <c r="L27">
        <v>17500</v>
      </c>
      <c r="M27">
        <v>13708.333333333334</v>
      </c>
    </row>
    <row r="28" spans="3:13" x14ac:dyDescent="0.3">
      <c r="C28" t="s">
        <v>559</v>
      </c>
      <c r="G28">
        <v>10500</v>
      </c>
      <c r="J28">
        <v>15750</v>
      </c>
      <c r="K28">
        <v>10500</v>
      </c>
      <c r="L28">
        <v>17500</v>
      </c>
      <c r="M28">
        <v>13562.5</v>
      </c>
    </row>
    <row r="29" spans="3:13" x14ac:dyDescent="0.3">
      <c r="C29" t="s">
        <v>553</v>
      </c>
      <c r="D29">
        <v>15750</v>
      </c>
      <c r="I29">
        <v>7875</v>
      </c>
      <c r="L29">
        <v>14875</v>
      </c>
      <c r="M29">
        <v>12833.333333333334</v>
      </c>
    </row>
    <row r="30" spans="3:13" x14ac:dyDescent="0.3">
      <c r="C30" t="s">
        <v>507</v>
      </c>
      <c r="D30">
        <v>7000</v>
      </c>
      <c r="G30">
        <v>7875</v>
      </c>
      <c r="I30">
        <v>17500</v>
      </c>
      <c r="J30">
        <v>17500</v>
      </c>
      <c r="M30">
        <v>12468.75</v>
      </c>
    </row>
    <row r="31" spans="3:13" x14ac:dyDescent="0.3">
      <c r="C31" t="s">
        <v>432</v>
      </c>
      <c r="D31">
        <v>12425</v>
      </c>
      <c r="I31">
        <v>10500</v>
      </c>
      <c r="M31">
        <v>11462.5</v>
      </c>
    </row>
    <row r="32" spans="3:13" x14ac:dyDescent="0.3">
      <c r="C32" t="s">
        <v>378</v>
      </c>
      <c r="I32">
        <v>7875</v>
      </c>
      <c r="J32">
        <v>14175</v>
      </c>
      <c r="M32">
        <v>11025</v>
      </c>
    </row>
    <row r="33" spans="3:13" x14ac:dyDescent="0.3">
      <c r="C33" t="s">
        <v>439</v>
      </c>
      <c r="E33">
        <v>7000</v>
      </c>
      <c r="L33">
        <v>14875</v>
      </c>
      <c r="M33">
        <v>10937.5</v>
      </c>
    </row>
    <row r="34" spans="3:13" x14ac:dyDescent="0.3">
      <c r="C34" t="s">
        <v>512</v>
      </c>
      <c r="E34">
        <v>15750</v>
      </c>
      <c r="I34">
        <v>9275</v>
      </c>
      <c r="K34">
        <v>7875</v>
      </c>
      <c r="L34">
        <v>10500</v>
      </c>
      <c r="M34">
        <v>10850</v>
      </c>
    </row>
    <row r="35" spans="3:13" x14ac:dyDescent="0.3">
      <c r="C35" t="s">
        <v>548</v>
      </c>
      <c r="G35">
        <v>14875</v>
      </c>
      <c r="I35">
        <v>7875</v>
      </c>
      <c r="J35">
        <v>12425</v>
      </c>
      <c r="M35">
        <v>10762.5</v>
      </c>
    </row>
    <row r="36" spans="3:13" x14ac:dyDescent="0.3">
      <c r="C36" t="s">
        <v>866</v>
      </c>
      <c r="D36">
        <v>14652.272727272728</v>
      </c>
      <c r="E36">
        <v>15082.8125</v>
      </c>
      <c r="F36">
        <v>49000</v>
      </c>
      <c r="G36">
        <v>18000</v>
      </c>
      <c r="H36">
        <v>17500</v>
      </c>
      <c r="I36">
        <v>13358.333333333334</v>
      </c>
      <c r="J36">
        <v>15210.416666666666</v>
      </c>
      <c r="K36">
        <v>14566.176470588236</v>
      </c>
      <c r="L36">
        <v>16872.117647058825</v>
      </c>
      <c r="M36">
        <v>15524.26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100</vt:i4>
      </vt:variant>
      <vt:variant>
        <vt:lpstr>Named Ranges</vt:lpstr>
      </vt:variant>
      <vt:variant>
        <vt:i4>1</vt:i4>
      </vt:variant>
    </vt:vector>
  </HeadingPairs>
  <TitlesOfParts>
    <vt:vector size="101" baseType="lpstr">
      <vt:lpstr>Home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Sheet1</vt:lpstr>
      <vt:lpstr>Sheet2</vt:lpstr>
      <vt:lpstr>75 PIVOT</vt:lpstr>
      <vt:lpstr>Main Data</vt:lpstr>
      <vt:lpstr>Emp. info</vt:lpstr>
      <vt:lpstr>Dashboard 1</vt:lpstr>
      <vt:lpstr>Extra</vt:lpstr>
      <vt:lpstr>Dashboard (2)</vt:lpstr>
      <vt:lpstr>Dashboard (3)</vt:lpstr>
      <vt:lpstr>0 (6)</vt:lpstr>
      <vt:lpstr>0 (7)</vt:lpstr>
      <vt:lpstr>0 (8)</vt:lpstr>
      <vt:lpstr>0 (9)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ira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Raj Singh Microsoft</dc:title>
  <dc:subject/>
  <dc:creator>rajsingh5100@hotmail.com;rajsingh5100@gmail.com</dc:creator>
  <cp:keywords/>
  <dc:description/>
  <cp:lastModifiedBy>ASDC7</cp:lastModifiedBy>
  <cp:revision/>
  <dcterms:created xsi:type="dcterms:W3CDTF">2024-10-17T16:19:15Z</dcterms:created>
  <dcterms:modified xsi:type="dcterms:W3CDTF">2026-07-09T10:13:19Z</dcterms:modified>
  <cp:category>IRA Skills</cp:category>
  <cp:contentStatus/>
</cp:coreProperties>
</file>