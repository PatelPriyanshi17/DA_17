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8_{4E864200-1E28-4472-8919-C2486EA6F5C4}" xr6:coauthVersionLast="47" xr6:coauthVersionMax="47" xr10:uidLastSave="{00000000-0000-0000-0000-000000000000}"/>
  <bookViews>
    <workbookView xWindow="-108" yWindow="-108" windowWidth="23256" windowHeight="12456" activeTab="9" xr2:uid="{9ECCC7CB-54EF-437F-AC50-99B59A6D09BB}"/>
  </bookViews>
  <sheets>
    <sheet name="Task1" sheetId="2" r:id="rId1"/>
    <sheet name="Task2" sheetId="1" r:id="rId2"/>
    <sheet name="Task3" sheetId="3" r:id="rId3"/>
    <sheet name="Task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9" l="1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11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10" i="8"/>
  <c r="K14" i="6"/>
  <c r="K9" i="6"/>
  <c r="J2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11" i="5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J6" i="3"/>
  <c r="J7" i="3"/>
  <c r="J8" i="3"/>
  <c r="J9" i="3"/>
  <c r="J5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10" i="3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12" i="2"/>
  <c r="G12" i="7" l="1"/>
  <c r="G7" i="7"/>
  <c r="J17" i="5"/>
  <c r="K12" i="5"/>
  <c r="K11" i="5"/>
  <c r="K10" i="5"/>
  <c r="F29" i="4"/>
  <c r="F30" i="4"/>
  <c r="F28" i="4"/>
  <c r="F27" i="4"/>
  <c r="J14" i="3"/>
  <c r="J13" i="3"/>
  <c r="J12" i="3"/>
  <c r="J11" i="3"/>
  <c r="J15" i="3"/>
  <c r="J21" i="3"/>
  <c r="J19" i="3"/>
  <c r="J24" i="3"/>
  <c r="J23" i="3"/>
  <c r="J22" i="3"/>
  <c r="J20" i="3"/>
  <c r="J18" i="3"/>
  <c r="J17" i="3"/>
  <c r="J10" i="3"/>
  <c r="J16" i="3"/>
</calcChain>
</file>

<file path=xl/sharedStrings.xml><?xml version="1.0" encoding="utf-8"?>
<sst xmlns="http://schemas.openxmlformats.org/spreadsheetml/2006/main" count="499" uniqueCount="167">
  <si>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</si>
  <si>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</si>
  <si>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</si>
  <si>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</si>
  <si>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</si>
  <si>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</si>
  <si>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</si>
  <si>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</si>
  <si>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</si>
  <si>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</si>
  <si>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</si>
  <si>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</si>
  <si>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</si>
  <si>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</si>
  <si>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</si>
  <si>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</si>
  <si>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</si>
  <si>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</si>
  <si>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</si>
  <si>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</si>
  <si>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</si>
  <si>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</si>
  <si>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</si>
  <si>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</si>
  <si>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</si>
  <si>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</si>
  <si>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</si>
  <si>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</si>
  <si>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</si>
  <si>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</si>
  <si>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</si>
  <si>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</si>
  <si>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</si>
  <si>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</si>
  <si>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</si>
  <si>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Task 2: Sales Report – Beautification</t>
  </si>
  <si>
    <t>Monthly Sales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</si>
  <si>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</si>
  <si>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</si>
  <si>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</si>
  <si>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</si>
  <si>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</si>
  <si>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</si>
  <si>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</si>
  <si>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</si>
  <si>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</si>
  <si>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</si>
  <si>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</si>
  <si>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</si>
  <si>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</si>
  <si>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</si>
  <si>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</si>
  <si>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</si>
  <si>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</si>
  <si>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</si>
  <si>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</si>
  <si>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</si>
  <si>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</si>
  <si>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</si>
  <si>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</si>
  <si>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</si>
  <si>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</si>
  <si>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</si>
  <si>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</si>
  <si>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</si>
  <si>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</si>
  <si>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</si>
  <si>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</si>
  <si>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</si>
  <si>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</si>
  <si>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</si>
  <si>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</si>
  <si>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</si>
  <si>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</si>
  <si>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</si>
  <si>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</si>
  <si>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</si>
  <si>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</si>
  <si>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</si>
  <si>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</si>
  <si>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</si>
  <si>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</si>
  <si>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</si>
  <si>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</si>
  <si>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</si>
  <si>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</si>
  <si>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</si>
  <si>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</si>
  <si>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</si>
  <si>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</si>
  <si>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</si>
  <si>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</si>
  <si>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Total </t>
  </si>
  <si>
    <t>Average</t>
  </si>
  <si>
    <t>Highest</t>
  </si>
  <si>
    <t xml:space="preserve">Lowest </t>
  </si>
  <si>
    <t>Task 5: Department-wise Salary Analysis</t>
  </si>
  <si>
    <t>Employee Name</t>
  </si>
  <si>
    <t>Suresh</t>
  </si>
  <si>
    <t>Meena</t>
  </si>
  <si>
    <t>Karan</t>
  </si>
  <si>
    <t>Ritu</t>
  </si>
  <si>
    <t>Total salary per department</t>
  </si>
  <si>
    <t>Aman</t>
  </si>
  <si>
    <t>Neel</t>
  </si>
  <si>
    <t>Average salary</t>
  </si>
  <si>
    <t>Count employees</t>
  </si>
  <si>
    <t>Task 6: Attendance Sheet – COUNTIF</t>
  </si>
  <si>
    <t>Day 1</t>
  </si>
  <si>
    <t>Day 2</t>
  </si>
  <si>
    <t>Day 3</t>
  </si>
  <si>
    <t>Day 4</t>
  </si>
  <si>
    <t>Day 5</t>
  </si>
  <si>
    <t>P</t>
  </si>
  <si>
    <t>A</t>
  </si>
  <si>
    <t xml:space="preserve"> Count Present days</t>
  </si>
  <si>
    <t>Count Absent days</t>
  </si>
  <si>
    <t>Task 7: Sales Count Logic</t>
  </si>
  <si>
    <t>Order ID</t>
  </si>
  <si>
    <t>O101</t>
  </si>
  <si>
    <t>Count sales above 10000</t>
  </si>
  <si>
    <t>O102</t>
  </si>
  <si>
    <t>O103</t>
  </si>
  <si>
    <t>O104</t>
  </si>
  <si>
    <t>O105</t>
  </si>
  <si>
    <t>O106</t>
  </si>
  <si>
    <t>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</si>
  <si>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</si>
  <si>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</si>
  <si>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</si>
  <si>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</si>
  <si>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</si>
  <si>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</si>
  <si>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</si>
  <si>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</si>
  <si>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</si>
  <si>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</si>
  <si>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</si>
  <si>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</si>
  <si>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</si>
  <si>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</si>
  <si>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Task 8: Conditional Formatting – Sales</t>
  </si>
  <si>
    <t>Product</t>
  </si>
  <si>
    <t>Mobile</t>
  </si>
  <si>
    <t>Headphones</t>
  </si>
  <si>
    <t xml:space="preserve">       Highlight sales &gt; 20000 (Green)</t>
  </si>
  <si>
    <t>Laptop</t>
  </si>
  <si>
    <t>Highlight sales &lt; 5000 (Red)</t>
  </si>
  <si>
    <t>Keyboard</t>
  </si>
  <si>
    <t>Tablet</t>
  </si>
  <si>
    <t>Task 9: Student Result Highlight</t>
  </si>
  <si>
    <t>Marks</t>
  </si>
  <si>
    <t>Bharti</t>
  </si>
  <si>
    <t>Chetan</t>
  </si>
  <si>
    <t xml:space="preserve">    Marks ≥ 75 → Green</t>
  </si>
  <si>
    <t>Deepa</t>
  </si>
  <si>
    <t>Marks &lt; 40 → Red</t>
  </si>
  <si>
    <t>Farhan</t>
  </si>
  <si>
    <t>Task 10: Salary Band – Conditional Formatting</t>
  </si>
  <si>
    <t>Rohit</t>
  </si>
  <si>
    <t>≥ 50000 → Dark Green</t>
  </si>
  <si>
    <t>Simran</t>
  </si>
  <si>
    <t>30000–49999 → Yellow</t>
  </si>
  <si>
    <t>Vijay</t>
  </si>
  <si>
    <t>&lt; 30000 → Light Red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</si>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</sst>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rgb="FF1F2328"/>
      <name val="Calibri Light"/>
      <family val="2"/>
      <scheme val="major"/>
    </font>
    <font>
      <i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1F2328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u/>
      <sz val="22"/>
      <color theme="1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b/>
      <u/>
      <sz val="18"/>
      <color theme="1"/>
      <name val="Calibri Light"/>
      <family val="2"/>
      <scheme val="major"/>
    </font>
    <font>
      <b/>
      <u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20"/>
      <color rgb="FF000000"/>
      <name val="Calibri"/>
      <scheme val="minor"/>
    </font>
    <font>
      <sz val="11"/>
      <color rgb="FF1F2328"/>
      <name val="Calibri Light"/>
      <scheme val="major"/>
    </font>
    <font>
      <sz val="11"/>
      <color rgb="FF1F2328"/>
      <name val="Calibri Light"/>
      <scheme val="major"/>
    </font>
    <font>
      <sz val="11"/>
      <color theme="1"/>
      <name val="Calibri Light"/>
      <scheme val="major"/>
    </font>
    <font>
      <b/>
      <sz val="18"/>
      <color rgb="FF000000"/>
      <name val="Calibri Light"/>
      <scheme val="major"/>
    </font>
    <font>
      <b/>
      <sz val="18"/>
      <color rgb="FF000000"/>
      <name val="Calibri"/>
      <scheme val="minor"/>
    </font>
    <font>
      <b/>
      <sz val="16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 style="medium">
        <color rgb="FFD1D9E0"/>
      </left>
      <right/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6" fillId="0" borderId="0" xfId="0" applyFont="1"/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/>
    <xf numFmtId="165" fontId="9" fillId="0" borderId="0" xfId="0" applyNumberFormat="1" applyFont="1"/>
    <xf numFmtId="165" fontId="11" fillId="0" borderId="0" xfId="0" applyNumberFormat="1" applyFont="1" applyAlignment="1">
      <alignment horizontal="left" vertical="center" indent="7"/>
    </xf>
    <xf numFmtId="166" fontId="10" fillId="2" borderId="1" xfId="0" applyNumberFormat="1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0" fillId="0" borderId="0" xfId="0" applyNumberFormat="1"/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2" borderId="9" xfId="0" applyFont="1" applyFill="1" applyBorder="1" applyAlignment="1">
      <alignment horizontal="left" vertical="center" indent="1"/>
    </xf>
    <xf numFmtId="164" fontId="3" fillId="2" borderId="9" xfId="0" applyNumberFormat="1" applyFont="1" applyFill="1" applyBorder="1" applyAlignment="1">
      <alignment horizontal="left" vertical="center" indent="1"/>
    </xf>
    <xf numFmtId="14" fontId="3" fillId="2" borderId="9" xfId="0" applyNumberFormat="1" applyFont="1" applyFill="1" applyBorder="1" applyAlignment="1">
      <alignment horizontal="left" vertical="center" indent="1"/>
    </xf>
    <xf numFmtId="0" fontId="3" fillId="3" borderId="9" xfId="0" applyFont="1" applyFill="1" applyBorder="1" applyAlignment="1">
      <alignment horizontal="left" vertical="center" indent="1"/>
    </xf>
    <xf numFmtId="164" fontId="3" fillId="3" borderId="9" xfId="0" applyNumberFormat="1" applyFont="1" applyFill="1" applyBorder="1" applyAlignment="1">
      <alignment horizontal="left" vertical="center" indent="1"/>
    </xf>
    <xf numFmtId="14" fontId="3" fillId="3" borderId="9" xfId="0" applyNumberFormat="1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left" vertical="center" wrapText="1" indent="1"/>
    </xf>
    <xf numFmtId="164" fontId="3" fillId="2" borderId="9" xfId="0" applyNumberFormat="1" applyFont="1" applyFill="1" applyBorder="1" applyAlignment="1">
      <alignment horizontal="left" vertical="center" wrapText="1" indent="1"/>
    </xf>
    <xf numFmtId="0" fontId="3" fillId="3" borderId="9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9" fontId="3" fillId="2" borderId="3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left" vertical="center" indent="7"/>
    </xf>
    <xf numFmtId="1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left" vertical="center" indent="7"/>
    </xf>
    <xf numFmtId="0" fontId="10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wrapText="1"/>
    </xf>
    <xf numFmtId="0" fontId="22" fillId="2" borderId="15" xfId="0" applyFont="1" applyFill="1" applyBorder="1" applyAlignment="1">
      <alignment horizontal="center" wrapText="1"/>
    </xf>
    <xf numFmtId="0" fontId="22" fillId="3" borderId="15" xfId="0" applyFont="1" applyFill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5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25" fillId="15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4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8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7" fillId="9" borderId="0" xfId="0" applyFont="1" applyFill="1" applyAlignment="1">
      <alignment horizontal="center"/>
    </xf>
    <xf numFmtId="0" fontId="14" fillId="10" borderId="14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18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9" fillId="10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14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20" fillId="14" borderId="0" xfId="0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71">
    <dxf>
      <font>
        <color theme="1"/>
      </font>
      <fill>
        <patternFill patternType="solid">
          <bgColor theme="9" tint="-0.499984740745262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numFmt numFmtId="165" formatCode="_ [$₹-4009]\ * #,##0.00_ ;_ [$₹-4009]\ * \-#,##0.00_ ;_ [$₹-4009]\ * &quot;-&quot;??_ ;_ @_ "/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left style="medium">
          <color rgb="FFD1D9E0"/>
        </left>
        <top style="medium">
          <color rgb="FFD1D9E0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64" formatCode="&quot;₹&quot;\ #,##0.0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 outline="0">
        <bottom style="medium">
          <color rgb="FFD1D9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AEEC8-56C1-4727-B37D-5E0D96E4A2D4}" name="Table1" displayName="Table1" ref="D6:H26" totalsRowShown="0" headerRowDxfId="62" dataDxfId="60" headerRowBorderDxfId="61" tableBorderDxfId="59" totalsRowBorderDxfId="58">
  <autoFilter ref="D6:H26" xr:uid="{762AEEC8-56C1-4727-B37D-5E0D96E4A2D4}"/>
  <tableColumns count="5">
    <tableColumn id="1" xr3:uid="{1D2B9F41-873D-406B-BA6A-FC020CFA807C}" name="Employee ID" dataDxfId="57"/>
    <tableColumn id="2" xr3:uid="{FA616B01-99A3-4FCA-95C7-0A23A18AEF77}" name="Name" dataDxfId="56"/>
    <tableColumn id="3" xr3:uid="{5DD978AD-D37A-42E4-9916-27C639CEE4E6}" name="Department" dataDxfId="55"/>
    <tableColumn id="4" xr3:uid="{85CAEDAE-1315-43D6-BD43-700469AF699D}" name="Salary" dataDxfId="54"/>
    <tableColumn id="5" xr3:uid="{66AD211E-F5DA-4454-8767-BEC0ADF51078}" name="Joining Date" dataDxfId="5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5EADB-EF76-48BA-B06B-4B6481D98F4B}" name="Table2" displayName="Table2" ref="E7:H27" totalsRowShown="0" headerRowDxfId="70" dataDxfId="68" headerRowBorderDxfId="69" tableBorderDxfId="67">
  <autoFilter ref="E7:H27" xr:uid="{2375EADB-EF76-48BA-B06B-4B6481D98F4B}"/>
  <tableColumns count="4">
    <tableColumn id="1" xr3:uid="{73DD30CF-AC77-4CE9-BB4E-80C7082633E8}" name="Product Name" dataDxfId="66"/>
    <tableColumn id="2" xr3:uid="{08032EA0-EA94-4921-9B82-FCBE0BCAB483}" name="Region" dataDxfId="65"/>
    <tableColumn id="3" xr3:uid="{3EC883BA-5F70-4DAC-B103-3858FC1A1765}" name="Sales Amount" dataDxfId="64">
      <calculatedColumnFormula>RANDBETWEEN(15000,50000)</calculatedColumnFormula>
    </tableColumn>
    <tableColumn id="4" xr3:uid="{565D3713-6F8E-434C-8A1A-FB2C3E151D51}" name="Salesperson" dataDxfId="6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43DDB7-0C0B-4F8C-8F6E-8696CE6EF38D}" name="Table3" displayName="Table3" ref="E4:J24" totalsRowShown="0" headerRowDxfId="52" headerRowBorderDxfId="51" tableBorderDxfId="50">
  <autoFilter ref="E4:J24" xr:uid="{6843DDB7-0C0B-4F8C-8F6E-8696CE6EF38D}"/>
  <tableColumns count="6">
    <tableColumn id="1" xr3:uid="{9557BF19-ECC2-43A2-BDF8-956B8FB30951}" name="Roll No" dataDxfId="49"/>
    <tableColumn id="2" xr3:uid="{157B0C53-C1C3-4E18-A3E6-3E145CD72D75}" name="Student Name" dataDxfId="48"/>
    <tableColumn id="3" xr3:uid="{F817D220-AF38-451C-88D9-FC6D41B69883}" name="Maths" dataDxfId="47">
      <calculatedColumnFormula>RANDBETWEEN(33,100)</calculatedColumnFormula>
    </tableColumn>
    <tableColumn id="4" xr3:uid="{9B413509-E78F-43EE-A096-A84A5B0E40E8}" name="Science" dataDxfId="46">
      <calculatedColumnFormula>RANDBETWEEN(33,100)</calculatedColumnFormula>
    </tableColumn>
    <tableColumn id="5" xr3:uid="{BE16CF0A-74F6-42A9-B5A4-D589B060E557}" name="English" dataDxfId="45">
      <calculatedColumnFormula>RANDBETWEEN(33,100)</calculatedColumnFormula>
    </tableColumn>
    <tableColumn id="6" xr3:uid="{CA8CF661-BFD2-499E-B7BF-F6C77EE2D701}" name="Percentage" dataDxfId="44" dataCellStyle="Percent">
      <calculatedColumnFormula>(G5+H5+I5)/300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54AB19-1F6B-4D40-B508-F4BB513F53FF}" name="Table4" displayName="Table4" ref="D5:F25" totalsRowShown="0" headerRowDxfId="43" dataDxfId="41" headerRowBorderDxfId="42" tableBorderDxfId="40">
  <autoFilter ref="D5:F25" xr:uid="{AC54AB19-1F6B-4D40-B508-F4BB513F53FF}"/>
  <tableColumns count="3">
    <tableColumn id="1" xr3:uid="{2C48F6AF-0999-4A95-9051-8FD8F360A1E3}" name="Invoice No" dataDxfId="39"/>
    <tableColumn id="2" xr3:uid="{335CE16A-FC60-49D2-9E8D-4E029839E82A}" name="Date" dataDxfId="38"/>
    <tableColumn id="3" xr3:uid="{8A7B6ADB-116C-4C0D-952B-EE95BFC05534}" name="Sales Amount" dataDxfId="37">
      <calculatedColumnFormula>RANDBETWEEN(8000,15000)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39A031-4E76-4087-B968-17A304D00675}" name="Table5" displayName="Table5" ref="D4:F26" totalsRowShown="0" headerRowDxfId="36" headerRowBorderDxfId="35" tableBorderDxfId="34">
  <autoFilter ref="D4:F26" xr:uid="{5E39A031-4E76-4087-B968-17A304D00675}"/>
  <tableColumns count="3">
    <tableColumn id="1" xr3:uid="{6D4FF049-1021-4BF5-85F1-318497D014A4}" name="Employee Name"/>
    <tableColumn id="2" xr3:uid="{C8671F9C-7D2E-48B4-8562-7F26EB8C3A8A}" name="Department"/>
    <tableColumn id="3" xr3:uid="{7C5B0B61-7631-463E-9595-89C1122A5999}" name="Salary" dataDxfId="3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1669EE-2437-4186-B330-B36CC7A9CC3B}" name="Table6" displayName="Table6" ref="D4:I26" totalsRowShown="0" headerRowDxfId="32" dataDxfId="30" headerRowBorderDxfId="31" tableBorderDxfId="29" totalsRowBorderDxfId="28">
  <autoFilter ref="D4:I26" xr:uid="{901669EE-2437-4186-B330-B36CC7A9CC3B}"/>
  <tableColumns count="6">
    <tableColumn id="1" xr3:uid="{26494AD9-6A7A-44D0-8661-64C2C9AF3E9D}" name="Student Name" dataDxfId="27"/>
    <tableColumn id="2" xr3:uid="{48DAACD8-4792-42A3-ACDC-13FC31588FED}" name="Day 1" dataDxfId="26"/>
    <tableColumn id="3" xr3:uid="{02F7212A-3F8D-4338-A5A3-653D1C9F19C2}" name="Day 2" dataDxfId="25"/>
    <tableColumn id="4" xr3:uid="{408FB4EC-5296-48FD-B0C9-C6483F3432D6}" name="Day 3" dataDxfId="24"/>
    <tableColumn id="5" xr3:uid="{336DE8D7-A861-4567-A2F3-0B40CB2A5379}" name="Day 4" dataDxfId="23"/>
    <tableColumn id="6" xr3:uid="{EB4FF07C-A274-43A4-83E2-766AD53058C8}" name="Day 5" dataDxfId="22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9C6A31-3956-44CB-BBFE-BF899661E7C9}" name="Table7" displayName="Table7" ref="C4:D25" totalsRowShown="0" headerRowDxfId="21" headerRowBorderDxfId="20" tableBorderDxfId="19">
  <autoFilter ref="C4:D25" xr:uid="{119C6A31-3956-44CB-BBFE-BF899661E7C9}"/>
  <tableColumns count="2">
    <tableColumn id="1" xr3:uid="{CDD3F3DD-2007-46B4-8DB1-A707699AD4FE}" name="Order ID"/>
    <tableColumn id="2" xr3:uid="{07188244-0436-402D-8ED8-189CC0677D5C}" name="Sales Amount" dataDxfId="18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9B5F1E-25F5-4A94-BAFD-08CA925DA7A6}" name="Table8" displayName="Table8" ref="D4:E26" totalsRowShown="0" headerRowDxfId="17" headerRowBorderDxfId="16" tableBorderDxfId="15">
  <autoFilter ref="D4:E26" xr:uid="{809B5F1E-25F5-4A94-BAFD-08CA925DA7A6}"/>
  <tableColumns count="2">
    <tableColumn id="1" xr3:uid="{42CAE41A-EB22-4CE7-91FE-54457A6845FC}" name="Product" dataDxfId="14"/>
    <tableColumn id="2" xr3:uid="{53F2E7AF-2A0F-484F-9C67-51B4688475E2}" name="Sales Amount" dataDxfId="13">
      <calculatedColumnFormula>RANDBETWEEN(15000,50000)</calculatedColumnFormula>
    </tableColumn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8E979F-3099-48D5-AE0E-3E583887A9ED}" name="Table9" displayName="Table9" ref="D4:F24" totalsRowShown="0" headerRowDxfId="12" headerRowBorderDxfId="11" tableBorderDxfId="10">
  <autoFilter ref="D4:F24" xr:uid="{3D8E979F-3099-48D5-AE0E-3E583887A9ED}"/>
  <tableColumns count="3">
    <tableColumn id="1" xr3:uid="{7200986A-4E5B-467B-A66D-DCE8AF805FC8}" name="Roll No" dataDxfId="9"/>
    <tableColumn id="2" xr3:uid="{503295FD-2644-472B-921F-66B6CF0B2F09}" name="Name" dataDxfId="8"/>
    <tableColumn id="3" xr3:uid="{1FC8AB52-4BA8-42B2-973B-29D2612ED949}" name="Marks" dataDxfId="7">
      <calculatedColumnFormula>CHOOSE(RANDBETWEEN(1,5),$F$5,$F$6,$F$7,$F$8,$F$9)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F47D-90E3-46BC-9D45-205DBAE93D05}">
  <dimension ref="D2:L26"/>
  <sheetViews>
    <sheetView topLeftCell="A10" workbookViewId="0">
      <selection activeCell="D2" sqref="D2:H2"/>
    </sheetView>
  </sheetViews>
  <sheetFormatPr defaultRowHeight="14.4" x14ac:dyDescent="0.3"/>
  <cols>
    <col min="4" max="4" width="19.88671875" customWidth="1"/>
    <col min="5" max="5" width="15.44140625" customWidth="1"/>
    <col min="6" max="6" width="18.88671875" customWidth="1"/>
    <col min="7" max="7" width="13.6640625" customWidth="1"/>
    <col min="8" max="8" width="16.33203125" customWidth="1"/>
  </cols>
  <sheetData>
    <row r="2" spans="4:12" ht="23.4" x14ac:dyDescent="0.45">
      <c r="D2" s="77" t="s">
        <v>0</v>
      </c>
      <c r="E2" s="78"/>
      <c r="F2" s="78"/>
      <c r="G2" s="78"/>
      <c r="H2" s="78"/>
    </row>
    <row r="6" spans="4:12" ht="15.6" x14ac:dyDescent="0.3">
      <c r="D6" s="2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4:12" ht="15.6" x14ac:dyDescent="0.3">
      <c r="D7" s="38" t="s">
        <v>6</v>
      </c>
      <c r="E7" s="38" t="s">
        <v>7</v>
      </c>
      <c r="F7" s="38" t="s">
        <v>8</v>
      </c>
      <c r="G7" s="39">
        <v>32000</v>
      </c>
      <c r="H7" s="40">
        <v>44573</v>
      </c>
    </row>
    <row r="8" spans="4:12" ht="15.6" x14ac:dyDescent="0.3">
      <c r="D8" s="41" t="s">
        <v>9</v>
      </c>
      <c r="E8" s="41" t="s">
        <v>10</v>
      </c>
      <c r="F8" s="41" t="s">
        <v>11</v>
      </c>
      <c r="G8" s="42">
        <v>45000</v>
      </c>
      <c r="H8" s="43">
        <v>44260</v>
      </c>
    </row>
    <row r="9" spans="4:12" ht="15.6" x14ac:dyDescent="0.3">
      <c r="D9" s="38" t="s">
        <v>12</v>
      </c>
      <c r="E9" s="38" t="s">
        <v>13</v>
      </c>
      <c r="F9" s="38" t="s">
        <v>14</v>
      </c>
      <c r="G9" s="39">
        <v>38000</v>
      </c>
      <c r="H9" s="40">
        <v>44030</v>
      </c>
    </row>
    <row r="10" spans="4:12" ht="15.6" x14ac:dyDescent="0.3">
      <c r="D10" s="41" t="s">
        <v>15</v>
      </c>
      <c r="E10" s="41" t="s">
        <v>16</v>
      </c>
      <c r="F10" s="41" t="s">
        <v>11</v>
      </c>
      <c r="G10" s="42">
        <v>52000</v>
      </c>
      <c r="H10" s="43">
        <v>43779</v>
      </c>
    </row>
    <row r="11" spans="4:12" ht="15.6" x14ac:dyDescent="0.3">
      <c r="D11" s="38" t="s">
        <v>17</v>
      </c>
      <c r="E11" s="38" t="s">
        <v>18</v>
      </c>
      <c r="F11" s="38" t="s">
        <v>19</v>
      </c>
      <c r="G11" s="39">
        <v>30000</v>
      </c>
      <c r="H11" s="40">
        <v>45102</v>
      </c>
    </row>
    <row r="12" spans="4:12" ht="15.6" x14ac:dyDescent="0.3">
      <c r="D12" s="44" t="s">
        <v>20</v>
      </c>
      <c r="E12" s="44" t="str">
        <f ca="1">CHOOSE(RANDBETWEEN(1,5),$E$7,$E$8,$E$9,$E$10,$E$11)</f>
        <v>Ankit Patel</v>
      </c>
      <c r="F12" s="38" t="s">
        <v>8</v>
      </c>
      <c r="G12" s="45">
        <v>49971</v>
      </c>
      <c r="H12" s="40">
        <v>44573</v>
      </c>
      <c r="L12" s="1"/>
    </row>
    <row r="13" spans="4:12" ht="15.6" x14ac:dyDescent="0.3">
      <c r="D13" s="46" t="s">
        <v>21</v>
      </c>
      <c r="E13" s="44" t="str">
        <f t="shared" ref="E13:E26" ca="1" si="0">CHOOSE(RANDBETWEEN(1,5),$E$7,$E$8,$E$9,$E$10,$E$11)</f>
        <v>Neha Verma</v>
      </c>
      <c r="F13" s="41" t="s">
        <v>11</v>
      </c>
      <c r="G13" s="45">
        <v>35892</v>
      </c>
      <c r="H13" s="43">
        <v>44260</v>
      </c>
    </row>
    <row r="14" spans="4:12" ht="15.6" x14ac:dyDescent="0.3">
      <c r="D14" s="44" t="s">
        <v>22</v>
      </c>
      <c r="E14" s="44" t="str">
        <f t="shared" ca="1" si="0"/>
        <v>Pooja Singh</v>
      </c>
      <c r="F14" s="38" t="s">
        <v>14</v>
      </c>
      <c r="G14" s="45">
        <v>35171</v>
      </c>
      <c r="H14" s="40">
        <v>44030</v>
      </c>
    </row>
    <row r="15" spans="4:12" ht="15.6" x14ac:dyDescent="0.3">
      <c r="D15" s="46" t="s">
        <v>23</v>
      </c>
      <c r="E15" s="44" t="str">
        <f t="shared" ca="1" si="0"/>
        <v>Amit Sharma</v>
      </c>
      <c r="F15" s="41" t="s">
        <v>11</v>
      </c>
      <c r="G15" s="45">
        <v>24652</v>
      </c>
      <c r="H15" s="43">
        <v>43779</v>
      </c>
    </row>
    <row r="16" spans="4:12" ht="15.6" x14ac:dyDescent="0.3">
      <c r="D16" s="44" t="s">
        <v>24</v>
      </c>
      <c r="E16" s="44" t="str">
        <f t="shared" ca="1" si="0"/>
        <v>Amit Sharma</v>
      </c>
      <c r="F16" s="38" t="s">
        <v>19</v>
      </c>
      <c r="G16" s="45">
        <v>42789</v>
      </c>
      <c r="H16" s="40">
        <v>45102</v>
      </c>
    </row>
    <row r="17" spans="4:8" ht="15.6" x14ac:dyDescent="0.3">
      <c r="D17" s="44" t="s">
        <v>25</v>
      </c>
      <c r="E17" s="44" t="str">
        <f t="shared" ca="1" si="0"/>
        <v>Pooja Singh</v>
      </c>
      <c r="F17" s="38" t="s">
        <v>8</v>
      </c>
      <c r="G17" s="45">
        <v>45930</v>
      </c>
      <c r="H17" s="40">
        <v>44573</v>
      </c>
    </row>
    <row r="18" spans="4:8" ht="15.6" x14ac:dyDescent="0.3">
      <c r="D18" s="46" t="s">
        <v>26</v>
      </c>
      <c r="E18" s="44" t="str">
        <f t="shared" ca="1" si="0"/>
        <v>Pooja Singh</v>
      </c>
      <c r="F18" s="41" t="s">
        <v>11</v>
      </c>
      <c r="G18" s="45">
        <v>40179</v>
      </c>
      <c r="H18" s="43">
        <v>44260</v>
      </c>
    </row>
    <row r="19" spans="4:8" ht="15.6" x14ac:dyDescent="0.3">
      <c r="D19" s="44" t="s">
        <v>27</v>
      </c>
      <c r="E19" s="44" t="str">
        <f t="shared" ca="1" si="0"/>
        <v>Pooja Singh</v>
      </c>
      <c r="F19" s="38" t="s">
        <v>14</v>
      </c>
      <c r="G19" s="45">
        <v>36659</v>
      </c>
      <c r="H19" s="40">
        <v>44030</v>
      </c>
    </row>
    <row r="20" spans="4:8" ht="15.6" x14ac:dyDescent="0.3">
      <c r="D20" s="46" t="s">
        <v>28</v>
      </c>
      <c r="E20" s="44" t="str">
        <f t="shared" ca="1" si="0"/>
        <v>Ankit Patel</v>
      </c>
      <c r="F20" s="41" t="s">
        <v>11</v>
      </c>
      <c r="G20" s="45">
        <v>26731</v>
      </c>
      <c r="H20" s="43">
        <v>43779</v>
      </c>
    </row>
    <row r="21" spans="4:8" ht="15.6" x14ac:dyDescent="0.3">
      <c r="D21" s="44" t="s">
        <v>29</v>
      </c>
      <c r="E21" s="44" t="str">
        <f t="shared" ca="1" si="0"/>
        <v>Rahul Mehta</v>
      </c>
      <c r="F21" s="38" t="s">
        <v>19</v>
      </c>
      <c r="G21" s="45">
        <v>48415</v>
      </c>
      <c r="H21" s="40">
        <v>45102</v>
      </c>
    </row>
    <row r="22" spans="4:8" ht="15.6" x14ac:dyDescent="0.3">
      <c r="D22" s="44" t="s">
        <v>30</v>
      </c>
      <c r="E22" s="44" t="str">
        <f t="shared" ca="1" si="0"/>
        <v>Ankit Patel</v>
      </c>
      <c r="F22" s="38" t="s">
        <v>8</v>
      </c>
      <c r="G22" s="45">
        <v>26587</v>
      </c>
      <c r="H22" s="40">
        <v>44573</v>
      </c>
    </row>
    <row r="23" spans="4:8" ht="15.6" x14ac:dyDescent="0.3">
      <c r="D23" s="46" t="s">
        <v>31</v>
      </c>
      <c r="E23" s="44" t="str">
        <f t="shared" ca="1" si="0"/>
        <v>Rahul Mehta</v>
      </c>
      <c r="F23" s="41" t="s">
        <v>11</v>
      </c>
      <c r="G23" s="45">
        <v>47576</v>
      </c>
      <c r="H23" s="43">
        <v>44260</v>
      </c>
    </row>
    <row r="24" spans="4:8" ht="15.6" x14ac:dyDescent="0.3">
      <c r="D24" s="44" t="s">
        <v>32</v>
      </c>
      <c r="E24" s="44" t="str">
        <f t="shared" ca="1" si="0"/>
        <v>Amit Sharma</v>
      </c>
      <c r="F24" s="38" t="s">
        <v>14</v>
      </c>
      <c r="G24" s="45">
        <v>40693</v>
      </c>
      <c r="H24" s="40">
        <v>44030</v>
      </c>
    </row>
    <row r="25" spans="4:8" ht="15.6" x14ac:dyDescent="0.3">
      <c r="D25" s="46" t="s">
        <v>33</v>
      </c>
      <c r="E25" s="44" t="str">
        <f t="shared" ca="1" si="0"/>
        <v>Ankit Patel</v>
      </c>
      <c r="F25" s="41" t="s">
        <v>11</v>
      </c>
      <c r="G25" s="45">
        <v>35726</v>
      </c>
      <c r="H25" s="43">
        <v>43779</v>
      </c>
    </row>
    <row r="26" spans="4:8" ht="15.6" x14ac:dyDescent="0.3">
      <c r="D26" s="44" t="s">
        <v>34</v>
      </c>
      <c r="E26" s="44" t="str">
        <f t="shared" ca="1" si="0"/>
        <v>Pooja Singh</v>
      </c>
      <c r="F26" s="38" t="s">
        <v>19</v>
      </c>
      <c r="G26" s="45">
        <v>27343</v>
      </c>
      <c r="H26" s="40">
        <v>45102</v>
      </c>
    </row>
  </sheetData>
  <mergeCells count="1">
    <mergeCell ref="D2:H2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22C2-0F20-405C-836D-6611D7BCC1E1}">
  <dimension ref="D2:K28"/>
  <sheetViews>
    <sheetView workbookViewId="0">
      <selection activeCell="G4" sqref="G4"/>
    </sheetView>
  </sheetViews>
  <sheetFormatPr defaultRowHeight="14.4" x14ac:dyDescent="0.3"/>
  <cols>
    <col min="5" max="5" width="33.44140625" customWidth="1"/>
    <col min="6" max="6" width="16" customWidth="1"/>
    <col min="7" max="8" width="19.6640625" customWidth="1"/>
  </cols>
  <sheetData>
    <row r="2" spans="4:11" ht="23.4" x14ac:dyDescent="0.45">
      <c r="E2" s="73" t="s">
        <v>35</v>
      </c>
      <c r="F2" s="74"/>
      <c r="G2" s="74"/>
    </row>
    <row r="4" spans="4:11" ht="23.4" x14ac:dyDescent="0.45">
      <c r="D4" s="75"/>
      <c r="E4" s="76"/>
      <c r="F4" s="76"/>
      <c r="G4" s="72" t="s">
        <v>36</v>
      </c>
      <c r="H4" s="72"/>
      <c r="I4" s="72"/>
      <c r="J4" s="72"/>
      <c r="K4" s="72"/>
    </row>
    <row r="7" spans="4:11" ht="16.2" thickBot="1" x14ac:dyDescent="0.35">
      <c r="E7" s="10" t="s">
        <v>37</v>
      </c>
      <c r="F7" s="11" t="s">
        <v>38</v>
      </c>
      <c r="G7" s="11" t="s">
        <v>39</v>
      </c>
      <c r="H7" s="12" t="s">
        <v>40</v>
      </c>
      <c r="I7" s="13"/>
    </row>
    <row r="8" spans="4:11" ht="16.2" thickBot="1" x14ac:dyDescent="0.35">
      <c r="E8" s="47" t="s">
        <v>41</v>
      </c>
      <c r="F8" s="48" t="s">
        <v>42</v>
      </c>
      <c r="G8" s="48">
        <v>45000</v>
      </c>
      <c r="H8" s="49" t="s">
        <v>43</v>
      </c>
      <c r="I8" s="13"/>
    </row>
    <row r="9" spans="4:11" ht="16.2" thickBot="1" x14ac:dyDescent="0.35">
      <c r="E9" s="50" t="s">
        <v>44</v>
      </c>
      <c r="F9" s="51" t="s">
        <v>45</v>
      </c>
      <c r="G9" s="51">
        <v>1200</v>
      </c>
      <c r="H9" s="52" t="s">
        <v>46</v>
      </c>
      <c r="I9" s="13"/>
    </row>
    <row r="10" spans="4:11" ht="16.2" thickBot="1" x14ac:dyDescent="0.35">
      <c r="E10" s="47" t="s">
        <v>47</v>
      </c>
      <c r="F10" s="48" t="s">
        <v>48</v>
      </c>
      <c r="G10" s="48">
        <v>18000</v>
      </c>
      <c r="H10" s="49" t="s">
        <v>49</v>
      </c>
      <c r="I10" s="13"/>
    </row>
    <row r="11" spans="4:11" ht="16.2" thickBot="1" x14ac:dyDescent="0.35">
      <c r="E11" s="50" t="s">
        <v>50</v>
      </c>
      <c r="F11" s="51" t="s">
        <v>51</v>
      </c>
      <c r="G11" s="51">
        <v>62000</v>
      </c>
      <c r="H11" s="52" t="s">
        <v>52</v>
      </c>
      <c r="I11" s="13"/>
    </row>
    <row r="12" spans="4:11" ht="16.2" thickBot="1" x14ac:dyDescent="0.35">
      <c r="E12" s="47" t="s">
        <v>53</v>
      </c>
      <c r="F12" s="48" t="s">
        <v>42</v>
      </c>
      <c r="G12" s="37">
        <f ca="1">RANDBETWEEN(15000,50000)</f>
        <v>23917</v>
      </c>
      <c r="H12" s="49" t="s">
        <v>43</v>
      </c>
      <c r="I12" s="37"/>
    </row>
    <row r="13" spans="4:11" ht="16.2" thickBot="1" x14ac:dyDescent="0.35">
      <c r="E13" s="50" t="s">
        <v>44</v>
      </c>
      <c r="F13" s="51" t="s">
        <v>45</v>
      </c>
      <c r="G13" s="37">
        <f t="shared" ref="G13:G27" ca="1" si="0">RANDBETWEEN(15000,50000)</f>
        <v>41042</v>
      </c>
      <c r="H13" s="52" t="s">
        <v>46</v>
      </c>
      <c r="I13" s="37"/>
    </row>
    <row r="14" spans="4:11" ht="16.2" thickBot="1" x14ac:dyDescent="0.35">
      <c r="E14" s="47" t="s">
        <v>47</v>
      </c>
      <c r="F14" s="48" t="s">
        <v>48</v>
      </c>
      <c r="G14" s="37">
        <f t="shared" ca="1" si="0"/>
        <v>19897</v>
      </c>
      <c r="H14" s="49" t="s">
        <v>49</v>
      </c>
      <c r="I14" s="37"/>
    </row>
    <row r="15" spans="4:11" ht="16.2" thickBot="1" x14ac:dyDescent="0.35">
      <c r="E15" s="50" t="s">
        <v>50</v>
      </c>
      <c r="F15" s="51" t="s">
        <v>51</v>
      </c>
      <c r="G15" s="37">
        <f t="shared" ca="1" si="0"/>
        <v>28858</v>
      </c>
      <c r="H15" s="52" t="s">
        <v>52</v>
      </c>
      <c r="I15" s="37"/>
    </row>
    <row r="16" spans="4:11" ht="16.2" thickBot="1" x14ac:dyDescent="0.35">
      <c r="E16" s="47" t="s">
        <v>54</v>
      </c>
      <c r="F16" s="48" t="s">
        <v>42</v>
      </c>
      <c r="G16" s="37">
        <f t="shared" ca="1" si="0"/>
        <v>48539</v>
      </c>
      <c r="H16" s="49" t="s">
        <v>43</v>
      </c>
      <c r="I16" s="37"/>
    </row>
    <row r="17" spans="5:9" ht="16.2" thickBot="1" x14ac:dyDescent="0.35">
      <c r="E17" s="50" t="s">
        <v>44</v>
      </c>
      <c r="F17" s="51" t="s">
        <v>45</v>
      </c>
      <c r="G17" s="37">
        <f t="shared" ca="1" si="0"/>
        <v>33697</v>
      </c>
      <c r="H17" s="52" t="s">
        <v>46</v>
      </c>
      <c r="I17" s="37"/>
    </row>
    <row r="18" spans="5:9" ht="16.2" thickBot="1" x14ac:dyDescent="0.35">
      <c r="E18" s="47" t="s">
        <v>47</v>
      </c>
      <c r="F18" s="48" t="s">
        <v>48</v>
      </c>
      <c r="G18" s="37">
        <f t="shared" ca="1" si="0"/>
        <v>45063</v>
      </c>
      <c r="H18" s="49" t="s">
        <v>49</v>
      </c>
      <c r="I18" s="37"/>
    </row>
    <row r="19" spans="5:9" ht="16.2" thickBot="1" x14ac:dyDescent="0.35">
      <c r="E19" s="50" t="s">
        <v>50</v>
      </c>
      <c r="F19" s="51" t="s">
        <v>51</v>
      </c>
      <c r="G19" s="37">
        <f t="shared" ca="1" si="0"/>
        <v>25108</v>
      </c>
      <c r="H19" s="52" t="s">
        <v>52</v>
      </c>
      <c r="I19" s="37"/>
    </row>
    <row r="20" spans="5:9" ht="16.2" thickBot="1" x14ac:dyDescent="0.35">
      <c r="E20" s="47" t="s">
        <v>55</v>
      </c>
      <c r="F20" s="48" t="s">
        <v>42</v>
      </c>
      <c r="G20" s="37">
        <f t="shared" ca="1" si="0"/>
        <v>35228</v>
      </c>
      <c r="H20" s="49" t="s">
        <v>43</v>
      </c>
      <c r="I20" s="37"/>
    </row>
    <row r="21" spans="5:9" ht="16.2" thickBot="1" x14ac:dyDescent="0.35">
      <c r="E21" s="50" t="s">
        <v>44</v>
      </c>
      <c r="F21" s="51" t="s">
        <v>45</v>
      </c>
      <c r="G21" s="37">
        <f t="shared" ca="1" si="0"/>
        <v>22992</v>
      </c>
      <c r="H21" s="52" t="s">
        <v>46</v>
      </c>
      <c r="I21" s="37"/>
    </row>
    <row r="22" spans="5:9" ht="16.2" thickBot="1" x14ac:dyDescent="0.35">
      <c r="E22" s="47" t="s">
        <v>47</v>
      </c>
      <c r="F22" s="48" t="s">
        <v>48</v>
      </c>
      <c r="G22" s="37">
        <f t="shared" ca="1" si="0"/>
        <v>35197</v>
      </c>
      <c r="H22" s="49" t="s">
        <v>49</v>
      </c>
      <c r="I22" s="37"/>
    </row>
    <row r="23" spans="5:9" ht="16.2" thickBot="1" x14ac:dyDescent="0.35">
      <c r="E23" s="50" t="s">
        <v>50</v>
      </c>
      <c r="F23" s="51" t="s">
        <v>51</v>
      </c>
      <c r="G23" s="37">
        <f t="shared" ca="1" si="0"/>
        <v>23419</v>
      </c>
      <c r="H23" s="52" t="s">
        <v>52</v>
      </c>
      <c r="I23" s="37"/>
    </row>
    <row r="24" spans="5:9" ht="16.2" thickBot="1" x14ac:dyDescent="0.35">
      <c r="E24" s="47" t="s">
        <v>56</v>
      </c>
      <c r="F24" s="48" t="s">
        <v>42</v>
      </c>
      <c r="G24" s="37">
        <f t="shared" ca="1" si="0"/>
        <v>21771</v>
      </c>
      <c r="H24" s="49" t="s">
        <v>43</v>
      </c>
      <c r="I24" s="37"/>
    </row>
    <row r="25" spans="5:9" ht="16.2" thickBot="1" x14ac:dyDescent="0.35">
      <c r="E25" s="50" t="s">
        <v>44</v>
      </c>
      <c r="F25" s="51" t="s">
        <v>45</v>
      </c>
      <c r="G25" s="37">
        <f t="shared" ca="1" si="0"/>
        <v>29856</v>
      </c>
      <c r="H25" s="52" t="s">
        <v>46</v>
      </c>
      <c r="I25" s="37"/>
    </row>
    <row r="26" spans="5:9" ht="16.2" thickBot="1" x14ac:dyDescent="0.35">
      <c r="E26" s="47" t="s">
        <v>47</v>
      </c>
      <c r="F26" s="48" t="s">
        <v>48</v>
      </c>
      <c r="G26" s="37">
        <f t="shared" ca="1" si="0"/>
        <v>31900</v>
      </c>
      <c r="H26" s="49" t="s">
        <v>49</v>
      </c>
      <c r="I26" s="37"/>
    </row>
    <row r="27" spans="5:9" ht="16.2" thickBot="1" x14ac:dyDescent="0.35">
      <c r="E27" s="50" t="s">
        <v>50</v>
      </c>
      <c r="F27" s="51" t="s">
        <v>51</v>
      </c>
      <c r="G27" s="37">
        <f t="shared" ca="1" si="0"/>
        <v>28234</v>
      </c>
      <c r="H27" s="52" t="s">
        <v>52</v>
      </c>
      <c r="I27" s="37"/>
    </row>
    <row r="28" spans="5:9" ht="16.2" thickBot="1" x14ac:dyDescent="0.35">
      <c r="E28" s="53"/>
    </row>
  </sheetData>
  <mergeCells count="3">
    <mergeCell ref="G4:K4"/>
    <mergeCell ref="E2:G2"/>
    <mergeCell ref="D4:F4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EAA9-BEE7-47DB-BA60-37D3D34DED41}">
  <dimension ref="E1:J24"/>
  <sheetViews>
    <sheetView workbookViewId="0">
      <selection activeCell="E1" sqref="E1:I1"/>
    </sheetView>
  </sheetViews>
  <sheetFormatPr defaultRowHeight="14.4" x14ac:dyDescent="0.3"/>
  <cols>
    <col min="5" max="5" width="14.44140625" customWidth="1"/>
    <col min="6" max="6" width="22.33203125" customWidth="1"/>
    <col min="7" max="8" width="15.33203125" customWidth="1"/>
    <col min="9" max="9" width="15.109375" customWidth="1"/>
    <col min="10" max="10" width="19.109375" customWidth="1"/>
    <col min="18" max="18" width="9.109375" customWidth="1"/>
  </cols>
  <sheetData>
    <row r="1" spans="5:10" ht="23.4" x14ac:dyDescent="0.45">
      <c r="E1" s="79" t="s">
        <v>57</v>
      </c>
      <c r="F1" s="80"/>
      <c r="G1" s="80"/>
      <c r="H1" s="80"/>
      <c r="I1" s="80"/>
    </row>
    <row r="4" spans="5:10" ht="16.2" thickBot="1" x14ac:dyDescent="0.35">
      <c r="E4" s="15" t="s">
        <v>58</v>
      </c>
      <c r="F4" s="16" t="s">
        <v>59</v>
      </c>
      <c r="G4" s="16" t="s">
        <v>60</v>
      </c>
      <c r="H4" s="16" t="s">
        <v>61</v>
      </c>
      <c r="I4" s="16" t="s">
        <v>62</v>
      </c>
      <c r="J4" s="17" t="s">
        <v>63</v>
      </c>
    </row>
    <row r="5" spans="5:10" ht="16.2" thickBot="1" x14ac:dyDescent="0.35">
      <c r="E5" s="5">
        <v>1</v>
      </c>
      <c r="F5" s="6" t="s">
        <v>64</v>
      </c>
      <c r="G5" s="6">
        <v>78</v>
      </c>
      <c r="H5" s="6">
        <v>82</v>
      </c>
      <c r="I5" s="6">
        <v>74</v>
      </c>
      <c r="J5" s="54">
        <f>(G5+H5+I5)/300</f>
        <v>0.78</v>
      </c>
    </row>
    <row r="6" spans="5:10" ht="16.2" thickBot="1" x14ac:dyDescent="0.35">
      <c r="E6" s="7">
        <v>2</v>
      </c>
      <c r="F6" s="8" t="s">
        <v>65</v>
      </c>
      <c r="G6" s="8">
        <v>65</v>
      </c>
      <c r="H6" s="8">
        <v>70</v>
      </c>
      <c r="I6" s="8">
        <v>68</v>
      </c>
      <c r="J6" s="54">
        <f t="shared" ref="J6:J24" si="0">(G6+H6+I6)/300</f>
        <v>0.67666666666666664</v>
      </c>
    </row>
    <row r="7" spans="5:10" ht="16.2" thickBot="1" x14ac:dyDescent="0.35">
      <c r="E7" s="5">
        <v>3</v>
      </c>
      <c r="F7" s="6" t="s">
        <v>66</v>
      </c>
      <c r="G7" s="6">
        <v>90</v>
      </c>
      <c r="H7" s="6">
        <v>88</v>
      </c>
      <c r="I7" s="6">
        <v>92</v>
      </c>
      <c r="J7" s="54">
        <f t="shared" si="0"/>
        <v>0.9</v>
      </c>
    </row>
    <row r="8" spans="5:10" ht="16.2" thickBot="1" x14ac:dyDescent="0.35">
      <c r="E8" s="7">
        <v>4</v>
      </c>
      <c r="F8" s="8" t="s">
        <v>67</v>
      </c>
      <c r="G8" s="8">
        <v>35</v>
      </c>
      <c r="H8" s="8">
        <v>40</v>
      </c>
      <c r="I8" s="8">
        <v>38</v>
      </c>
      <c r="J8" s="54">
        <f t="shared" si="0"/>
        <v>0.37666666666666665</v>
      </c>
    </row>
    <row r="9" spans="5:10" ht="16.2" thickBot="1" x14ac:dyDescent="0.35">
      <c r="E9" s="5">
        <v>5</v>
      </c>
      <c r="F9" s="6" t="s">
        <v>68</v>
      </c>
      <c r="G9" s="6">
        <v>55</v>
      </c>
      <c r="H9" s="6">
        <v>60</v>
      </c>
      <c r="I9" s="6">
        <v>58</v>
      </c>
      <c r="J9" s="54">
        <f t="shared" si="0"/>
        <v>0.57666666666666666</v>
      </c>
    </row>
    <row r="10" spans="5:10" ht="16.2" thickBot="1" x14ac:dyDescent="0.35">
      <c r="E10" s="55">
        <v>6</v>
      </c>
      <c r="F10" s="56" t="s">
        <v>64</v>
      </c>
      <c r="G10" s="14">
        <f ca="1">RANDBETWEEN(33,100)</f>
        <v>70</v>
      </c>
      <c r="H10" s="9">
        <f ca="1">RANDBETWEEN(33,100)</f>
        <v>65</v>
      </c>
      <c r="I10" s="9">
        <f ca="1">RANDBETWEEN(33,100)</f>
        <v>87</v>
      </c>
      <c r="J10" s="54">
        <f t="shared" ca="1" si="0"/>
        <v>0.74</v>
      </c>
    </row>
    <row r="11" spans="5:10" ht="16.2" thickBot="1" x14ac:dyDescent="0.35">
      <c r="E11" s="57">
        <v>7</v>
      </c>
      <c r="F11" s="58" t="s">
        <v>65</v>
      </c>
      <c r="G11" s="14">
        <f t="shared" ref="G11:I24" ca="1" si="1">RANDBETWEEN(33,100)</f>
        <v>43</v>
      </c>
      <c r="H11" s="9">
        <f t="shared" ca="1" si="1"/>
        <v>60</v>
      </c>
      <c r="I11" s="9">
        <f t="shared" ca="1" si="1"/>
        <v>40</v>
      </c>
      <c r="J11" s="54">
        <f t="shared" ca="1" si="0"/>
        <v>0.47666666666666668</v>
      </c>
    </row>
    <row r="12" spans="5:10" ht="16.2" thickBot="1" x14ac:dyDescent="0.35">
      <c r="E12" s="55">
        <v>8</v>
      </c>
      <c r="F12" s="56" t="s">
        <v>66</v>
      </c>
      <c r="G12" s="14">
        <f t="shared" ca="1" si="1"/>
        <v>46</v>
      </c>
      <c r="H12" s="9">
        <f t="shared" ca="1" si="1"/>
        <v>52</v>
      </c>
      <c r="I12" s="9">
        <f t="shared" ca="1" si="1"/>
        <v>58</v>
      </c>
      <c r="J12" s="54">
        <f t="shared" ca="1" si="0"/>
        <v>0.52</v>
      </c>
    </row>
    <row r="13" spans="5:10" ht="16.2" thickBot="1" x14ac:dyDescent="0.35">
      <c r="E13" s="57">
        <v>9</v>
      </c>
      <c r="F13" s="58" t="s">
        <v>67</v>
      </c>
      <c r="G13" s="14">
        <f t="shared" ca="1" si="1"/>
        <v>80</v>
      </c>
      <c r="H13" s="9">
        <f t="shared" ca="1" si="1"/>
        <v>97</v>
      </c>
      <c r="I13" s="9">
        <f t="shared" ca="1" si="1"/>
        <v>38</v>
      </c>
      <c r="J13" s="54">
        <f t="shared" ca="1" si="0"/>
        <v>0.71666666666666667</v>
      </c>
    </row>
    <row r="14" spans="5:10" ht="16.2" thickBot="1" x14ac:dyDescent="0.35">
      <c r="E14" s="55">
        <v>10</v>
      </c>
      <c r="F14" s="56" t="s">
        <v>68</v>
      </c>
      <c r="G14" s="14">
        <f t="shared" ca="1" si="1"/>
        <v>64</v>
      </c>
      <c r="H14" s="9">
        <f t="shared" ca="1" si="1"/>
        <v>79</v>
      </c>
      <c r="I14" s="9">
        <f t="shared" ca="1" si="1"/>
        <v>71</v>
      </c>
      <c r="J14" s="54">
        <f t="shared" ca="1" si="0"/>
        <v>0.71333333333333337</v>
      </c>
    </row>
    <row r="15" spans="5:10" ht="16.2" thickBot="1" x14ac:dyDescent="0.35">
      <c r="E15" s="55">
        <v>11</v>
      </c>
      <c r="F15" s="56" t="s">
        <v>64</v>
      </c>
      <c r="G15" s="14">
        <f t="shared" ca="1" si="1"/>
        <v>57</v>
      </c>
      <c r="H15" s="9">
        <f t="shared" ca="1" si="1"/>
        <v>68</v>
      </c>
      <c r="I15" s="9">
        <f t="shared" ca="1" si="1"/>
        <v>41</v>
      </c>
      <c r="J15" s="54">
        <f t="shared" ca="1" si="0"/>
        <v>0.55333333333333334</v>
      </c>
    </row>
    <row r="16" spans="5:10" ht="16.2" thickBot="1" x14ac:dyDescent="0.35">
      <c r="E16" s="57">
        <v>12</v>
      </c>
      <c r="F16" s="58" t="s">
        <v>65</v>
      </c>
      <c r="G16" s="14">
        <f t="shared" ca="1" si="1"/>
        <v>69</v>
      </c>
      <c r="H16" s="9">
        <f t="shared" ca="1" si="1"/>
        <v>98</v>
      </c>
      <c r="I16" s="9">
        <f t="shared" ca="1" si="1"/>
        <v>37</v>
      </c>
      <c r="J16" s="54">
        <f t="shared" ca="1" si="0"/>
        <v>0.68</v>
      </c>
    </row>
    <row r="17" spans="5:10" ht="16.2" thickBot="1" x14ac:dyDescent="0.35">
      <c r="E17" s="55">
        <v>13</v>
      </c>
      <c r="F17" s="56" t="s">
        <v>66</v>
      </c>
      <c r="G17" s="14">
        <f t="shared" ca="1" si="1"/>
        <v>59</v>
      </c>
      <c r="H17" s="9">
        <f t="shared" ca="1" si="1"/>
        <v>92</v>
      </c>
      <c r="I17" s="9">
        <f t="shared" ca="1" si="1"/>
        <v>80</v>
      </c>
      <c r="J17" s="54">
        <f t="shared" ca="1" si="0"/>
        <v>0.77</v>
      </c>
    </row>
    <row r="18" spans="5:10" ht="16.2" thickBot="1" x14ac:dyDescent="0.35">
      <c r="E18" s="57">
        <v>14</v>
      </c>
      <c r="F18" s="58" t="s">
        <v>67</v>
      </c>
      <c r="G18" s="14">
        <f t="shared" ca="1" si="1"/>
        <v>58</v>
      </c>
      <c r="H18" s="9">
        <f t="shared" ca="1" si="1"/>
        <v>65</v>
      </c>
      <c r="I18" s="9">
        <f t="shared" ca="1" si="1"/>
        <v>96</v>
      </c>
      <c r="J18" s="54">
        <f t="shared" ca="1" si="0"/>
        <v>0.73</v>
      </c>
    </row>
    <row r="19" spans="5:10" ht="16.2" thickBot="1" x14ac:dyDescent="0.35">
      <c r="E19" s="55">
        <v>15</v>
      </c>
      <c r="F19" s="56" t="s">
        <v>68</v>
      </c>
      <c r="G19" s="14">
        <f t="shared" ca="1" si="1"/>
        <v>38</v>
      </c>
      <c r="H19" s="9">
        <f t="shared" ca="1" si="1"/>
        <v>51</v>
      </c>
      <c r="I19" s="9">
        <f t="shared" ca="1" si="1"/>
        <v>74</v>
      </c>
      <c r="J19" s="54">
        <f t="shared" ca="1" si="0"/>
        <v>0.54333333333333333</v>
      </c>
    </row>
    <row r="20" spans="5:10" ht="16.2" thickBot="1" x14ac:dyDescent="0.35">
      <c r="E20" s="55">
        <v>16</v>
      </c>
      <c r="F20" s="56" t="s">
        <v>64</v>
      </c>
      <c r="G20" s="14">
        <f t="shared" ca="1" si="1"/>
        <v>93</v>
      </c>
      <c r="H20" s="9">
        <f t="shared" ca="1" si="1"/>
        <v>92</v>
      </c>
      <c r="I20" s="9">
        <f t="shared" ca="1" si="1"/>
        <v>66</v>
      </c>
      <c r="J20" s="54">
        <f t="shared" ca="1" si="0"/>
        <v>0.83666666666666667</v>
      </c>
    </row>
    <row r="21" spans="5:10" ht="16.2" thickBot="1" x14ac:dyDescent="0.35">
      <c r="E21" s="57">
        <v>17</v>
      </c>
      <c r="F21" s="58" t="s">
        <v>65</v>
      </c>
      <c r="G21" s="14">
        <f t="shared" ca="1" si="1"/>
        <v>90</v>
      </c>
      <c r="H21" s="9">
        <f t="shared" ca="1" si="1"/>
        <v>89</v>
      </c>
      <c r="I21" s="9">
        <f t="shared" ca="1" si="1"/>
        <v>60</v>
      </c>
      <c r="J21" s="54">
        <f t="shared" ca="1" si="0"/>
        <v>0.79666666666666663</v>
      </c>
    </row>
    <row r="22" spans="5:10" ht="16.2" thickBot="1" x14ac:dyDescent="0.35">
      <c r="E22" s="55">
        <v>18</v>
      </c>
      <c r="F22" s="56" t="s">
        <v>66</v>
      </c>
      <c r="G22" s="14">
        <f t="shared" ca="1" si="1"/>
        <v>80</v>
      </c>
      <c r="H22" s="9">
        <f t="shared" ca="1" si="1"/>
        <v>33</v>
      </c>
      <c r="I22" s="9">
        <f t="shared" ca="1" si="1"/>
        <v>90</v>
      </c>
      <c r="J22" s="54">
        <f t="shared" ca="1" si="0"/>
        <v>0.67666666666666664</v>
      </c>
    </row>
    <row r="23" spans="5:10" ht="16.2" thickBot="1" x14ac:dyDescent="0.35">
      <c r="E23" s="57">
        <v>19</v>
      </c>
      <c r="F23" s="58" t="s">
        <v>67</v>
      </c>
      <c r="G23" s="14">
        <f t="shared" ca="1" si="1"/>
        <v>100</v>
      </c>
      <c r="H23" s="9">
        <f t="shared" ca="1" si="1"/>
        <v>43</v>
      </c>
      <c r="I23" s="9">
        <f t="shared" ca="1" si="1"/>
        <v>39</v>
      </c>
      <c r="J23" s="54">
        <f t="shared" ca="1" si="0"/>
        <v>0.60666666666666669</v>
      </c>
    </row>
    <row r="24" spans="5:10" ht="16.2" thickBot="1" x14ac:dyDescent="0.35">
      <c r="E24" s="55">
        <v>20</v>
      </c>
      <c r="F24" s="56" t="s">
        <v>68</v>
      </c>
      <c r="G24" s="14">
        <f t="shared" ca="1" si="1"/>
        <v>89</v>
      </c>
      <c r="H24" s="9">
        <f t="shared" ca="1" si="1"/>
        <v>91</v>
      </c>
      <c r="I24" s="9">
        <f t="shared" ca="1" si="1"/>
        <v>62</v>
      </c>
      <c r="J24" s="54">
        <f t="shared" ca="1" si="0"/>
        <v>0.80666666666666664</v>
      </c>
    </row>
  </sheetData>
  <mergeCells count="1">
    <mergeCell ref="E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C949-E8F5-47A8-A686-CE1D491CB5DA}">
  <dimension ref="D2:J31"/>
  <sheetViews>
    <sheetView workbookViewId="0">
      <selection activeCell="H16" sqref="H16"/>
    </sheetView>
  </sheetViews>
  <sheetFormatPr defaultRowHeight="14.4" x14ac:dyDescent="0.3"/>
  <cols>
    <col min="4" max="4" width="17.44140625" customWidth="1"/>
    <col min="5" max="5" width="19.88671875" customWidth="1"/>
    <col min="6" max="6" width="21.6640625" customWidth="1"/>
  </cols>
  <sheetData>
    <row r="2" spans="4:10" ht="23.4" x14ac:dyDescent="0.45">
      <c r="D2" s="81" t="s">
        <v>69</v>
      </c>
      <c r="E2" s="82"/>
      <c r="F2" s="82"/>
      <c r="G2" s="82"/>
      <c r="H2" s="82"/>
      <c r="I2" s="82"/>
      <c r="J2" s="82"/>
    </row>
    <row r="5" spans="4:10" ht="16.2" thickBot="1" x14ac:dyDescent="0.35">
      <c r="D5" s="18" t="s">
        <v>70</v>
      </c>
      <c r="E5" s="19" t="s">
        <v>71</v>
      </c>
      <c r="F5" s="19" t="s">
        <v>39</v>
      </c>
    </row>
    <row r="6" spans="4:10" ht="16.2" thickBot="1" x14ac:dyDescent="0.35">
      <c r="D6" s="55" t="s">
        <v>72</v>
      </c>
      <c r="E6" s="59">
        <v>45292</v>
      </c>
      <c r="F6" s="60">
        <v>12000</v>
      </c>
    </row>
    <row r="7" spans="4:10" ht="16.2" thickBot="1" x14ac:dyDescent="0.35">
      <c r="D7" s="57" t="s">
        <v>73</v>
      </c>
      <c r="E7" s="61">
        <v>45294</v>
      </c>
      <c r="F7" s="62">
        <v>25000</v>
      </c>
    </row>
    <row r="8" spans="4:10" ht="16.2" thickBot="1" x14ac:dyDescent="0.35">
      <c r="D8" s="55" t="s">
        <v>74</v>
      </c>
      <c r="E8" s="59">
        <v>45296</v>
      </c>
      <c r="F8" s="60">
        <v>8000</v>
      </c>
    </row>
    <row r="9" spans="4:10" ht="16.2" thickBot="1" x14ac:dyDescent="0.35">
      <c r="D9" s="57" t="s">
        <v>75</v>
      </c>
      <c r="E9" s="61">
        <v>45299</v>
      </c>
      <c r="F9" s="62">
        <v>32000</v>
      </c>
    </row>
    <row r="10" spans="4:10" ht="16.2" thickBot="1" x14ac:dyDescent="0.35">
      <c r="D10" s="55" t="s">
        <v>76</v>
      </c>
      <c r="E10" s="59">
        <v>45301</v>
      </c>
      <c r="F10" s="60">
        <v>15000</v>
      </c>
    </row>
    <row r="11" spans="4:10" ht="16.2" thickBot="1" x14ac:dyDescent="0.35">
      <c r="D11" s="55" t="s">
        <v>77</v>
      </c>
      <c r="E11" s="59">
        <v>45292</v>
      </c>
      <c r="F11" s="26">
        <f ca="1">RANDBETWEEN(8000,15000)</f>
        <v>11863</v>
      </c>
    </row>
    <row r="12" spans="4:10" ht="16.2" thickBot="1" x14ac:dyDescent="0.35">
      <c r="D12" s="57" t="s">
        <v>78</v>
      </c>
      <c r="E12" s="61">
        <v>45294</v>
      </c>
      <c r="F12" s="26">
        <f t="shared" ref="F12:F25" ca="1" si="0">RANDBETWEEN(8000,15000)</f>
        <v>8846</v>
      </c>
    </row>
    <row r="13" spans="4:10" ht="16.2" thickBot="1" x14ac:dyDescent="0.35">
      <c r="D13" s="55" t="s">
        <v>79</v>
      </c>
      <c r="E13" s="59">
        <v>45296</v>
      </c>
      <c r="F13" s="26">
        <f t="shared" ca="1" si="0"/>
        <v>8594</v>
      </c>
    </row>
    <row r="14" spans="4:10" ht="16.2" thickBot="1" x14ac:dyDescent="0.35">
      <c r="D14" s="57" t="s">
        <v>80</v>
      </c>
      <c r="E14" s="61">
        <v>45299</v>
      </c>
      <c r="F14" s="26">
        <f t="shared" ca="1" si="0"/>
        <v>14985</v>
      </c>
    </row>
    <row r="15" spans="4:10" ht="16.2" thickBot="1" x14ac:dyDescent="0.35">
      <c r="D15" s="55" t="s">
        <v>81</v>
      </c>
      <c r="E15" s="59">
        <v>45301</v>
      </c>
      <c r="F15" s="26">
        <f t="shared" ca="1" si="0"/>
        <v>8862</v>
      </c>
    </row>
    <row r="16" spans="4:10" ht="16.2" thickBot="1" x14ac:dyDescent="0.35">
      <c r="D16" s="55" t="s">
        <v>82</v>
      </c>
      <c r="E16" s="59">
        <v>45292</v>
      </c>
      <c r="F16" s="26">
        <f t="shared" ca="1" si="0"/>
        <v>8219</v>
      </c>
    </row>
    <row r="17" spans="4:6" ht="16.2" thickBot="1" x14ac:dyDescent="0.35">
      <c r="D17" s="57" t="s">
        <v>83</v>
      </c>
      <c r="E17" s="61">
        <v>45294</v>
      </c>
      <c r="F17" s="26">
        <f t="shared" ca="1" si="0"/>
        <v>8460</v>
      </c>
    </row>
    <row r="18" spans="4:6" ht="16.2" thickBot="1" x14ac:dyDescent="0.35">
      <c r="D18" s="55" t="s">
        <v>84</v>
      </c>
      <c r="E18" s="59">
        <v>45296</v>
      </c>
      <c r="F18" s="26">
        <f t="shared" ca="1" si="0"/>
        <v>13582</v>
      </c>
    </row>
    <row r="19" spans="4:6" ht="16.2" thickBot="1" x14ac:dyDescent="0.35">
      <c r="D19" s="57" t="s">
        <v>85</v>
      </c>
      <c r="E19" s="61">
        <v>45299</v>
      </c>
      <c r="F19" s="26">
        <f t="shared" ca="1" si="0"/>
        <v>14851</v>
      </c>
    </row>
    <row r="20" spans="4:6" ht="16.2" thickBot="1" x14ac:dyDescent="0.35">
      <c r="D20" s="55" t="s">
        <v>86</v>
      </c>
      <c r="E20" s="59">
        <v>45301</v>
      </c>
      <c r="F20" s="26">
        <f t="shared" ca="1" si="0"/>
        <v>14588</v>
      </c>
    </row>
    <row r="21" spans="4:6" ht="16.2" thickBot="1" x14ac:dyDescent="0.35">
      <c r="D21" s="55" t="s">
        <v>87</v>
      </c>
      <c r="E21" s="59">
        <v>45292</v>
      </c>
      <c r="F21" s="26">
        <f t="shared" ca="1" si="0"/>
        <v>11074</v>
      </c>
    </row>
    <row r="22" spans="4:6" ht="16.2" thickBot="1" x14ac:dyDescent="0.35">
      <c r="D22" s="57" t="s">
        <v>88</v>
      </c>
      <c r="E22" s="61">
        <v>45294</v>
      </c>
      <c r="F22" s="26">
        <f t="shared" ca="1" si="0"/>
        <v>12476</v>
      </c>
    </row>
    <row r="23" spans="4:6" ht="16.2" thickBot="1" x14ac:dyDescent="0.35">
      <c r="D23" s="55" t="s">
        <v>89</v>
      </c>
      <c r="E23" s="59">
        <v>45296</v>
      </c>
      <c r="F23" s="26">
        <f t="shared" ca="1" si="0"/>
        <v>14879</v>
      </c>
    </row>
    <row r="24" spans="4:6" ht="16.2" thickBot="1" x14ac:dyDescent="0.35">
      <c r="D24" s="57" t="s">
        <v>90</v>
      </c>
      <c r="E24" s="61">
        <v>45299</v>
      </c>
      <c r="F24" s="26">
        <f t="shared" ca="1" si="0"/>
        <v>10465</v>
      </c>
    </row>
    <row r="25" spans="4:6" ht="16.2" thickBot="1" x14ac:dyDescent="0.35">
      <c r="D25" s="55" t="s">
        <v>91</v>
      </c>
      <c r="E25" s="59">
        <v>45301</v>
      </c>
      <c r="F25" s="26">
        <f t="shared" ca="1" si="0"/>
        <v>10431</v>
      </c>
    </row>
    <row r="26" spans="4:6" x14ac:dyDescent="0.3">
      <c r="F26" s="25"/>
    </row>
    <row r="27" spans="4:6" ht="15.6" x14ac:dyDescent="0.3">
      <c r="D27" s="21" t="s">
        <v>92</v>
      </c>
      <c r="E27" s="14"/>
      <c r="F27" s="20">
        <f ca="1">SUM(F6:F25)</f>
        <v>264175</v>
      </c>
    </row>
    <row r="28" spans="4:6" ht="15.6" x14ac:dyDescent="0.3">
      <c r="D28" s="22" t="s">
        <v>93</v>
      </c>
      <c r="E28" s="14"/>
      <c r="F28" s="14">
        <f ca="1">AVERAGE(F6:F24)</f>
        <v>13354.947368421053</v>
      </c>
    </row>
    <row r="29" spans="4:6" x14ac:dyDescent="0.3">
      <c r="D29" s="23" t="s">
        <v>94</v>
      </c>
      <c r="E29" s="14"/>
      <c r="F29" s="14">
        <f ca="1">MAX(F6:F25)</f>
        <v>32000</v>
      </c>
    </row>
    <row r="30" spans="4:6" x14ac:dyDescent="0.3">
      <c r="D30" s="23" t="s">
        <v>95</v>
      </c>
      <c r="E30" s="14"/>
      <c r="F30" s="14">
        <f ca="1">MIN(F6:F25)</f>
        <v>8000</v>
      </c>
    </row>
    <row r="31" spans="4:6" x14ac:dyDescent="0.3">
      <c r="D31" s="24"/>
    </row>
  </sheetData>
  <mergeCells count="1">
    <mergeCell ref="D2:J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E5D5-20B2-41B0-9267-90BA96EA3183}">
  <dimension ref="D2:O25"/>
  <sheetViews>
    <sheetView workbookViewId="0">
      <selection activeCell="K10" sqref="K10:K12"/>
    </sheetView>
  </sheetViews>
  <sheetFormatPr defaultRowHeight="14.4" x14ac:dyDescent="0.3"/>
  <cols>
    <col min="4" max="4" width="17.33203125" customWidth="1"/>
    <col min="5" max="5" width="16.33203125" customWidth="1"/>
    <col min="6" max="6" width="11.109375" bestFit="1" customWidth="1"/>
    <col min="11" max="11" width="12.6640625" bestFit="1" customWidth="1"/>
  </cols>
  <sheetData>
    <row r="2" spans="4:15" ht="28.8" x14ac:dyDescent="0.55000000000000004">
      <c r="F2" s="83" t="s">
        <v>96</v>
      </c>
      <c r="G2" s="84"/>
      <c r="H2" s="84"/>
      <c r="I2" s="84"/>
      <c r="J2" s="84"/>
      <c r="K2" s="84"/>
      <c r="L2" s="84"/>
      <c r="M2" s="84"/>
      <c r="N2" s="84"/>
      <c r="O2" s="84"/>
    </row>
    <row r="4" spans="4:15" ht="15" thickBot="1" x14ac:dyDescent="0.35">
      <c r="D4" s="63" t="s">
        <v>97</v>
      </c>
      <c r="E4" s="63" t="s">
        <v>3</v>
      </c>
      <c r="F4" s="63" t="s">
        <v>4</v>
      </c>
    </row>
    <row r="5" spans="4:15" ht="15" thickBot="1" x14ac:dyDescent="0.35">
      <c r="D5" s="6" t="s">
        <v>98</v>
      </c>
      <c r="E5" s="6" t="s">
        <v>8</v>
      </c>
      <c r="F5" s="27">
        <v>28000</v>
      </c>
    </row>
    <row r="6" spans="4:15" ht="15" thickBot="1" x14ac:dyDescent="0.35">
      <c r="D6" s="8" t="s">
        <v>99</v>
      </c>
      <c r="E6" s="8" t="s">
        <v>11</v>
      </c>
      <c r="F6" s="28">
        <v>45000</v>
      </c>
    </row>
    <row r="7" spans="4:15" ht="15" thickBot="1" x14ac:dyDescent="0.35">
      <c r="D7" s="6" t="s">
        <v>100</v>
      </c>
      <c r="E7" s="6" t="s">
        <v>11</v>
      </c>
      <c r="F7" s="27">
        <v>50000</v>
      </c>
    </row>
    <row r="8" spans="4:15" ht="16.2" thickBot="1" x14ac:dyDescent="0.35">
      <c r="D8" s="8" t="s">
        <v>101</v>
      </c>
      <c r="E8" s="8" t="s">
        <v>14</v>
      </c>
      <c r="F8" s="28">
        <v>42000</v>
      </c>
      <c r="I8" s="85" t="s">
        <v>102</v>
      </c>
      <c r="J8" s="84"/>
      <c r="K8" s="84"/>
      <c r="L8" s="84"/>
      <c r="M8" s="84"/>
      <c r="N8" s="84"/>
    </row>
    <row r="9" spans="4:15" ht="15" thickBot="1" x14ac:dyDescent="0.35">
      <c r="D9" s="6" t="s">
        <v>103</v>
      </c>
      <c r="E9" s="6" t="s">
        <v>8</v>
      </c>
      <c r="F9" s="27">
        <v>30000</v>
      </c>
    </row>
    <row r="10" spans="4:15" ht="15" thickBot="1" x14ac:dyDescent="0.35">
      <c r="D10" s="8" t="s">
        <v>104</v>
      </c>
      <c r="E10" s="8" t="s">
        <v>14</v>
      </c>
      <c r="F10" s="28">
        <v>38000</v>
      </c>
      <c r="I10" t="s">
        <v>8</v>
      </c>
      <c r="K10" s="30">
        <f ca="1">SUMIF($E$5:$E$25,E5,$F$5:$F$25)</f>
        <v>194027</v>
      </c>
    </row>
    <row r="11" spans="4:15" ht="15" thickBot="1" x14ac:dyDescent="0.35">
      <c r="D11" s="6" t="s">
        <v>98</v>
      </c>
      <c r="E11" s="6" t="s">
        <v>8</v>
      </c>
      <c r="F11" s="29">
        <f ca="1">RANDBETWEEN(15000,50000)</f>
        <v>23268</v>
      </c>
      <c r="I11" t="s">
        <v>11</v>
      </c>
      <c r="K11" s="30">
        <f ca="1">SUMIF($E$5:$E$25,E7,$F$5:$F$25)</f>
        <v>307092</v>
      </c>
    </row>
    <row r="12" spans="4:15" ht="15" thickBot="1" x14ac:dyDescent="0.35">
      <c r="D12" s="8" t="s">
        <v>99</v>
      </c>
      <c r="E12" s="8" t="s">
        <v>11</v>
      </c>
      <c r="F12" s="29">
        <f t="shared" ref="F12:F25" ca="1" si="0">RANDBETWEEN(15000,50000)</f>
        <v>38837</v>
      </c>
      <c r="I12" t="s">
        <v>14</v>
      </c>
      <c r="K12" s="30">
        <f ca="1">SUMIF($E$5:$E$25,E8,$F$5:$F$25)</f>
        <v>259161</v>
      </c>
    </row>
    <row r="13" spans="4:15" ht="15" thickBot="1" x14ac:dyDescent="0.35">
      <c r="D13" s="6" t="s">
        <v>100</v>
      </c>
      <c r="E13" s="6" t="s">
        <v>11</v>
      </c>
      <c r="F13" s="29">
        <f t="shared" ca="1" si="0"/>
        <v>35382</v>
      </c>
    </row>
    <row r="14" spans="4:15" ht="15" thickBot="1" x14ac:dyDescent="0.35">
      <c r="D14" s="8" t="s">
        <v>101</v>
      </c>
      <c r="E14" s="8" t="s">
        <v>14</v>
      </c>
      <c r="F14" s="29">
        <f t="shared" ca="1" si="0"/>
        <v>42960</v>
      </c>
    </row>
    <row r="15" spans="4:15" ht="16.2" thickBot="1" x14ac:dyDescent="0.35">
      <c r="D15" s="6" t="s">
        <v>103</v>
      </c>
      <c r="E15" s="6" t="s">
        <v>8</v>
      </c>
      <c r="F15" s="29">
        <f t="shared" ca="1" si="0"/>
        <v>21124</v>
      </c>
      <c r="I15" s="85" t="s">
        <v>105</v>
      </c>
      <c r="J15" s="84"/>
      <c r="K15" s="84"/>
      <c r="L15" s="84"/>
      <c r="M15" s="84"/>
      <c r="N15" s="84"/>
    </row>
    <row r="16" spans="4:15" ht="15" thickBot="1" x14ac:dyDescent="0.35">
      <c r="D16" s="8" t="s">
        <v>104</v>
      </c>
      <c r="E16" s="8" t="s">
        <v>14</v>
      </c>
      <c r="F16" s="29">
        <f t="shared" ca="1" si="0"/>
        <v>40539</v>
      </c>
    </row>
    <row r="17" spans="4:14" ht="15" thickBot="1" x14ac:dyDescent="0.35">
      <c r="D17" s="6" t="s">
        <v>98</v>
      </c>
      <c r="E17" s="6" t="s">
        <v>8</v>
      </c>
      <c r="F17" s="29">
        <f t="shared" ca="1" si="0"/>
        <v>39340</v>
      </c>
      <c r="J17">
        <f ca="1">AVERAGE(F5:F25)</f>
        <v>36203.809523809527</v>
      </c>
    </row>
    <row r="18" spans="4:14" ht="15" thickBot="1" x14ac:dyDescent="0.35">
      <c r="D18" s="8" t="s">
        <v>99</v>
      </c>
      <c r="E18" s="8" t="s">
        <v>11</v>
      </c>
      <c r="F18" s="29">
        <f t="shared" ca="1" si="0"/>
        <v>47550</v>
      </c>
    </row>
    <row r="19" spans="4:14" ht="15" thickBot="1" x14ac:dyDescent="0.35">
      <c r="D19" s="6" t="s">
        <v>100</v>
      </c>
      <c r="E19" s="6" t="s">
        <v>11</v>
      </c>
      <c r="F19" s="29">
        <f t="shared" ca="1" si="0"/>
        <v>25356</v>
      </c>
    </row>
    <row r="20" spans="4:14" ht="16.2" thickBot="1" x14ac:dyDescent="0.35">
      <c r="D20" s="8" t="s">
        <v>101</v>
      </c>
      <c r="E20" s="8" t="s">
        <v>14</v>
      </c>
      <c r="F20" s="29">
        <f t="shared" ca="1" si="0"/>
        <v>48321</v>
      </c>
      <c r="I20" s="85" t="s">
        <v>106</v>
      </c>
      <c r="J20" s="84"/>
      <c r="K20" s="84"/>
      <c r="L20" s="84"/>
      <c r="M20" s="84"/>
      <c r="N20" s="84"/>
    </row>
    <row r="21" spans="4:14" ht="15" thickBot="1" x14ac:dyDescent="0.35">
      <c r="D21" s="6" t="s">
        <v>103</v>
      </c>
      <c r="E21" s="6" t="s">
        <v>8</v>
      </c>
      <c r="F21" s="29">
        <f t="shared" ca="1" si="0"/>
        <v>34067</v>
      </c>
      <c r="J21">
        <f>COUNTA(D5:D25)</f>
        <v>21</v>
      </c>
    </row>
    <row r="22" spans="4:14" ht="15" thickBot="1" x14ac:dyDescent="0.35">
      <c r="D22" s="8" t="s">
        <v>104</v>
      </c>
      <c r="E22" s="8" t="s">
        <v>14</v>
      </c>
      <c r="F22" s="29">
        <f t="shared" ca="1" si="0"/>
        <v>47341</v>
      </c>
    </row>
    <row r="23" spans="4:14" ht="15" thickBot="1" x14ac:dyDescent="0.35">
      <c r="D23" s="6" t="s">
        <v>98</v>
      </c>
      <c r="E23" s="6" t="s">
        <v>8</v>
      </c>
      <c r="F23" s="29">
        <f t="shared" ca="1" si="0"/>
        <v>18228</v>
      </c>
    </row>
    <row r="24" spans="4:14" ht="15" thickBot="1" x14ac:dyDescent="0.35">
      <c r="D24" s="8" t="s">
        <v>99</v>
      </c>
      <c r="E24" s="8" t="s">
        <v>11</v>
      </c>
      <c r="F24" s="29">
        <f t="shared" ca="1" si="0"/>
        <v>39345</v>
      </c>
    </row>
    <row r="25" spans="4:14" ht="15" thickBot="1" x14ac:dyDescent="0.35">
      <c r="D25" s="6" t="s">
        <v>100</v>
      </c>
      <c r="E25" s="6" t="s">
        <v>11</v>
      </c>
      <c r="F25" s="29">
        <f t="shared" ca="1" si="0"/>
        <v>25622</v>
      </c>
    </row>
  </sheetData>
  <mergeCells count="4">
    <mergeCell ref="F2:O2"/>
    <mergeCell ref="I8:N8"/>
    <mergeCell ref="I15:N15"/>
    <mergeCell ref="I20:N2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46AB-E130-43EA-9844-EBE1AB3B2AA9}">
  <dimension ref="D2:O26"/>
  <sheetViews>
    <sheetView workbookViewId="0">
      <selection activeCell="M16" sqref="M16"/>
    </sheetView>
  </sheetViews>
  <sheetFormatPr defaultRowHeight="14.4" x14ac:dyDescent="0.3"/>
  <cols>
    <col min="4" max="4" width="17.6640625" customWidth="1"/>
    <col min="5" max="6" width="11.6640625" customWidth="1"/>
    <col min="7" max="7" width="11.33203125" customWidth="1"/>
    <col min="8" max="8" width="12.33203125" customWidth="1"/>
    <col min="9" max="9" width="11.33203125" customWidth="1"/>
  </cols>
  <sheetData>
    <row r="2" spans="4:15" ht="28.8" x14ac:dyDescent="0.55000000000000004">
      <c r="F2" s="86" t="s">
        <v>107</v>
      </c>
      <c r="G2" s="87"/>
      <c r="H2" s="87"/>
      <c r="I2" s="87"/>
      <c r="J2" s="87"/>
      <c r="K2" s="87"/>
      <c r="L2" s="87"/>
      <c r="M2" s="87"/>
      <c r="N2" s="87"/>
    </row>
    <row r="4" spans="4:15" ht="15" thickBot="1" x14ac:dyDescent="0.35">
      <c r="D4" s="64" t="s">
        <v>59</v>
      </c>
      <c r="E4" s="63" t="s">
        <v>108</v>
      </c>
      <c r="F4" s="63" t="s">
        <v>109</v>
      </c>
      <c r="G4" s="63" t="s">
        <v>110</v>
      </c>
      <c r="H4" s="63" t="s">
        <v>111</v>
      </c>
      <c r="I4" s="65" t="s">
        <v>112</v>
      </c>
    </row>
    <row r="5" spans="4:15" ht="15" thickBot="1" x14ac:dyDescent="0.35">
      <c r="D5" s="5" t="s">
        <v>64</v>
      </c>
      <c r="E5" s="6" t="s">
        <v>113</v>
      </c>
      <c r="F5" s="6" t="s">
        <v>114</v>
      </c>
      <c r="G5" s="6" t="s">
        <v>113</v>
      </c>
      <c r="H5" s="6" t="s">
        <v>113</v>
      </c>
      <c r="I5" s="31" t="s">
        <v>113</v>
      </c>
    </row>
    <row r="6" spans="4:15" ht="15" thickBot="1" x14ac:dyDescent="0.35">
      <c r="D6" s="7" t="s">
        <v>65</v>
      </c>
      <c r="E6" s="8" t="s">
        <v>113</v>
      </c>
      <c r="F6" s="8" t="s">
        <v>113</v>
      </c>
      <c r="G6" s="8" t="s">
        <v>113</v>
      </c>
      <c r="H6" s="8" t="s">
        <v>114</v>
      </c>
      <c r="I6" s="32" t="s">
        <v>113</v>
      </c>
    </row>
    <row r="7" spans="4:15" ht="15" thickBot="1" x14ac:dyDescent="0.35">
      <c r="D7" s="5" t="s">
        <v>66</v>
      </c>
      <c r="E7" s="6" t="s">
        <v>114</v>
      </c>
      <c r="F7" s="6" t="s">
        <v>113</v>
      </c>
      <c r="G7" s="6" t="s">
        <v>113</v>
      </c>
      <c r="H7" s="6" t="s">
        <v>113</v>
      </c>
      <c r="I7" s="31" t="s">
        <v>113</v>
      </c>
      <c r="K7" s="87" t="s">
        <v>115</v>
      </c>
      <c r="L7" s="87"/>
      <c r="M7" s="87"/>
      <c r="N7" s="87"/>
      <c r="O7" s="87"/>
    </row>
    <row r="8" spans="4:15" ht="15" thickBot="1" x14ac:dyDescent="0.35">
      <c r="D8" s="7" t="s">
        <v>67</v>
      </c>
      <c r="E8" s="8" t="s">
        <v>113</v>
      </c>
      <c r="F8" s="8" t="s">
        <v>114</v>
      </c>
      <c r="G8" s="8" t="s">
        <v>114</v>
      </c>
      <c r="H8" s="8" t="s">
        <v>113</v>
      </c>
      <c r="I8" s="32" t="s">
        <v>114</v>
      </c>
    </row>
    <row r="9" spans="4:15" ht="15" thickBot="1" x14ac:dyDescent="0.35">
      <c r="D9" s="5" t="s">
        <v>64</v>
      </c>
      <c r="E9" s="6" t="s">
        <v>113</v>
      </c>
      <c r="F9" s="6" t="s">
        <v>114</v>
      </c>
      <c r="G9" s="6" t="s">
        <v>113</v>
      </c>
      <c r="H9" s="6" t="s">
        <v>113</v>
      </c>
      <c r="I9" s="31" t="s">
        <v>113</v>
      </c>
      <c r="K9">
        <f>COUNTIF(E5:I26,E5)</f>
        <v>78</v>
      </c>
    </row>
    <row r="10" spans="4:15" ht="15" thickBot="1" x14ac:dyDescent="0.35">
      <c r="D10" s="7" t="s">
        <v>65</v>
      </c>
      <c r="E10" s="8" t="s">
        <v>113</v>
      </c>
      <c r="F10" s="8" t="s">
        <v>113</v>
      </c>
      <c r="G10" s="8" t="s">
        <v>113</v>
      </c>
      <c r="H10" s="8" t="s">
        <v>114</v>
      </c>
      <c r="I10" s="32" t="s">
        <v>113</v>
      </c>
    </row>
    <row r="11" spans="4:15" ht="15" thickBot="1" x14ac:dyDescent="0.35">
      <c r="D11" s="5" t="s">
        <v>66</v>
      </c>
      <c r="E11" s="6" t="s">
        <v>114</v>
      </c>
      <c r="F11" s="6" t="s">
        <v>113</v>
      </c>
      <c r="G11" s="6" t="s">
        <v>113</v>
      </c>
      <c r="H11" s="6" t="s">
        <v>113</v>
      </c>
      <c r="I11" s="31" t="s">
        <v>113</v>
      </c>
    </row>
    <row r="12" spans="4:15" ht="16.2" thickBot="1" x14ac:dyDescent="0.35">
      <c r="D12" s="7" t="s">
        <v>67</v>
      </c>
      <c r="E12" s="8" t="s">
        <v>113</v>
      </c>
      <c r="F12" s="8" t="s">
        <v>114</v>
      </c>
      <c r="G12" s="8" t="s">
        <v>114</v>
      </c>
      <c r="H12" s="8" t="s">
        <v>113</v>
      </c>
      <c r="I12" s="32" t="s">
        <v>114</v>
      </c>
      <c r="K12" s="88" t="s">
        <v>116</v>
      </c>
      <c r="L12" s="87"/>
      <c r="M12" s="87"/>
      <c r="N12" s="87"/>
      <c r="O12" s="87"/>
    </row>
    <row r="13" spans="4:15" ht="15" thickBot="1" x14ac:dyDescent="0.35">
      <c r="D13" s="5" t="s">
        <v>64</v>
      </c>
      <c r="E13" s="6" t="s">
        <v>113</v>
      </c>
      <c r="F13" s="6" t="s">
        <v>114</v>
      </c>
      <c r="G13" s="6" t="s">
        <v>113</v>
      </c>
      <c r="H13" s="6" t="s">
        <v>113</v>
      </c>
      <c r="I13" s="31" t="s">
        <v>113</v>
      </c>
    </row>
    <row r="14" spans="4:15" ht="15" thickBot="1" x14ac:dyDescent="0.35">
      <c r="D14" s="7" t="s">
        <v>65</v>
      </c>
      <c r="E14" s="8" t="s">
        <v>113</v>
      </c>
      <c r="F14" s="8" t="s">
        <v>113</v>
      </c>
      <c r="G14" s="8" t="s">
        <v>113</v>
      </c>
      <c r="H14" s="8" t="s">
        <v>114</v>
      </c>
      <c r="I14" s="32" t="s">
        <v>113</v>
      </c>
      <c r="K14">
        <f>COUNTIF(E5:I26,H14)</f>
        <v>32</v>
      </c>
    </row>
    <row r="15" spans="4:15" ht="15" thickBot="1" x14ac:dyDescent="0.35">
      <c r="D15" s="5" t="s">
        <v>66</v>
      </c>
      <c r="E15" s="6" t="s">
        <v>114</v>
      </c>
      <c r="F15" s="6" t="s">
        <v>113</v>
      </c>
      <c r="G15" s="6" t="s">
        <v>113</v>
      </c>
      <c r="H15" s="6" t="s">
        <v>113</v>
      </c>
      <c r="I15" s="31" t="s">
        <v>113</v>
      </c>
    </row>
    <row r="16" spans="4:15" ht="15" thickBot="1" x14ac:dyDescent="0.35">
      <c r="D16" s="7" t="s">
        <v>67</v>
      </c>
      <c r="E16" s="8" t="s">
        <v>113</v>
      </c>
      <c r="F16" s="8" t="s">
        <v>114</v>
      </c>
      <c r="G16" s="8" t="s">
        <v>114</v>
      </c>
      <c r="H16" s="8" t="s">
        <v>113</v>
      </c>
      <c r="I16" s="32" t="s">
        <v>114</v>
      </c>
    </row>
    <row r="17" spans="4:9" ht="15" thickBot="1" x14ac:dyDescent="0.35">
      <c r="D17" s="5" t="s">
        <v>64</v>
      </c>
      <c r="E17" s="6" t="s">
        <v>113</v>
      </c>
      <c r="F17" s="6" t="s">
        <v>114</v>
      </c>
      <c r="G17" s="6" t="s">
        <v>113</v>
      </c>
      <c r="H17" s="6" t="s">
        <v>113</v>
      </c>
      <c r="I17" s="31" t="s">
        <v>113</v>
      </c>
    </row>
    <row r="18" spans="4:9" ht="15" thickBot="1" x14ac:dyDescent="0.35">
      <c r="D18" s="7" t="s">
        <v>65</v>
      </c>
      <c r="E18" s="8" t="s">
        <v>113</v>
      </c>
      <c r="F18" s="8" t="s">
        <v>113</v>
      </c>
      <c r="G18" s="8" t="s">
        <v>113</v>
      </c>
      <c r="H18" s="8" t="s">
        <v>114</v>
      </c>
      <c r="I18" s="32" t="s">
        <v>113</v>
      </c>
    </row>
    <row r="19" spans="4:9" ht="15" thickBot="1" x14ac:dyDescent="0.35">
      <c r="D19" s="5" t="s">
        <v>66</v>
      </c>
      <c r="E19" s="6" t="s">
        <v>114</v>
      </c>
      <c r="F19" s="6" t="s">
        <v>113</v>
      </c>
      <c r="G19" s="6" t="s">
        <v>113</v>
      </c>
      <c r="H19" s="6" t="s">
        <v>113</v>
      </c>
      <c r="I19" s="31" t="s">
        <v>113</v>
      </c>
    </row>
    <row r="20" spans="4:9" ht="15" thickBot="1" x14ac:dyDescent="0.35">
      <c r="D20" s="7" t="s">
        <v>67</v>
      </c>
      <c r="E20" s="8" t="s">
        <v>113</v>
      </c>
      <c r="F20" s="8" t="s">
        <v>114</v>
      </c>
      <c r="G20" s="8" t="s">
        <v>114</v>
      </c>
      <c r="H20" s="8" t="s">
        <v>113</v>
      </c>
      <c r="I20" s="32" t="s">
        <v>114</v>
      </c>
    </row>
    <row r="21" spans="4:9" ht="15" thickBot="1" x14ac:dyDescent="0.35">
      <c r="D21" s="5" t="s">
        <v>64</v>
      </c>
      <c r="E21" s="6" t="s">
        <v>113</v>
      </c>
      <c r="F21" s="6" t="s">
        <v>114</v>
      </c>
      <c r="G21" s="6" t="s">
        <v>113</v>
      </c>
      <c r="H21" s="6" t="s">
        <v>113</v>
      </c>
      <c r="I21" s="31" t="s">
        <v>113</v>
      </c>
    </row>
    <row r="22" spans="4:9" ht="15" thickBot="1" x14ac:dyDescent="0.35">
      <c r="D22" s="7" t="s">
        <v>65</v>
      </c>
      <c r="E22" s="8" t="s">
        <v>113</v>
      </c>
      <c r="F22" s="8" t="s">
        <v>113</v>
      </c>
      <c r="G22" s="8" t="s">
        <v>113</v>
      </c>
      <c r="H22" s="8" t="s">
        <v>114</v>
      </c>
      <c r="I22" s="32" t="s">
        <v>113</v>
      </c>
    </row>
    <row r="23" spans="4:9" ht="15" thickBot="1" x14ac:dyDescent="0.35">
      <c r="D23" s="5" t="s">
        <v>66</v>
      </c>
      <c r="E23" s="6" t="s">
        <v>114</v>
      </c>
      <c r="F23" s="6" t="s">
        <v>113</v>
      </c>
      <c r="G23" s="6" t="s">
        <v>113</v>
      </c>
      <c r="H23" s="6" t="s">
        <v>113</v>
      </c>
      <c r="I23" s="31" t="s">
        <v>113</v>
      </c>
    </row>
    <row r="24" spans="4:9" ht="15" thickBot="1" x14ac:dyDescent="0.35">
      <c r="D24" s="7" t="s">
        <v>67</v>
      </c>
      <c r="E24" s="8" t="s">
        <v>113</v>
      </c>
      <c r="F24" s="8" t="s">
        <v>114</v>
      </c>
      <c r="G24" s="8" t="s">
        <v>114</v>
      </c>
      <c r="H24" s="8" t="s">
        <v>113</v>
      </c>
      <c r="I24" s="32" t="s">
        <v>114</v>
      </c>
    </row>
    <row r="25" spans="4:9" ht="15" thickBot="1" x14ac:dyDescent="0.35">
      <c r="D25" s="5" t="s">
        <v>64</v>
      </c>
      <c r="E25" s="6" t="s">
        <v>113</v>
      </c>
      <c r="F25" s="6" t="s">
        <v>114</v>
      </c>
      <c r="G25" s="6" t="s">
        <v>113</v>
      </c>
      <c r="H25" s="6" t="s">
        <v>113</v>
      </c>
      <c r="I25" s="31" t="s">
        <v>113</v>
      </c>
    </row>
    <row r="26" spans="4:9" x14ac:dyDescent="0.3">
      <c r="D26" s="33" t="s">
        <v>65</v>
      </c>
      <c r="E26" s="34" t="s">
        <v>113</v>
      </c>
      <c r="F26" s="34" t="s">
        <v>113</v>
      </c>
      <c r="G26" s="34" t="s">
        <v>113</v>
      </c>
      <c r="H26" s="34" t="s">
        <v>114</v>
      </c>
      <c r="I26" s="35" t="s">
        <v>113</v>
      </c>
    </row>
  </sheetData>
  <mergeCells count="3">
    <mergeCell ref="F2:N2"/>
    <mergeCell ref="K7:O7"/>
    <mergeCell ref="K12:O1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7CF2-5FB6-437F-A89B-46E405F3E9AF}">
  <dimension ref="C2:N25"/>
  <sheetViews>
    <sheetView workbookViewId="0">
      <selection activeCell="G21" sqref="G21"/>
    </sheetView>
  </sheetViews>
  <sheetFormatPr defaultRowHeight="14.4" x14ac:dyDescent="0.3"/>
  <cols>
    <col min="3" max="3" width="14.44140625" customWidth="1"/>
    <col min="4" max="4" width="18.109375" customWidth="1"/>
  </cols>
  <sheetData>
    <row r="2" spans="3:14" ht="28.8" x14ac:dyDescent="0.55000000000000004">
      <c r="F2" s="89" t="s">
        <v>117</v>
      </c>
      <c r="G2" s="90"/>
      <c r="H2" s="90"/>
      <c r="I2" s="90"/>
      <c r="J2" s="90"/>
      <c r="K2" s="90"/>
      <c r="L2" s="90"/>
      <c r="M2" s="90"/>
      <c r="N2" s="90"/>
    </row>
    <row r="4" spans="3:14" x14ac:dyDescent="0.3">
      <c r="C4" s="63" t="s">
        <v>118</v>
      </c>
      <c r="D4" s="63" t="s">
        <v>39</v>
      </c>
    </row>
    <row r="5" spans="3:14" ht="15.6" x14ac:dyDescent="0.3">
      <c r="C5" s="6" t="s">
        <v>119</v>
      </c>
      <c r="D5" s="6">
        <v>4500</v>
      </c>
      <c r="F5" s="91" t="s">
        <v>120</v>
      </c>
      <c r="G5" s="92"/>
      <c r="H5" s="92"/>
    </row>
    <row r="6" spans="3:14" x14ac:dyDescent="0.3">
      <c r="C6" s="8" t="s">
        <v>121</v>
      </c>
      <c r="D6" s="8">
        <v>12000</v>
      </c>
    </row>
    <row r="7" spans="3:14" x14ac:dyDescent="0.3">
      <c r="C7" s="6" t="s">
        <v>122</v>
      </c>
      <c r="D7" s="6">
        <v>8000</v>
      </c>
      <c r="G7">
        <f ca="1">COUNTIF(D5:D24,"&gt;10000")</f>
        <v>17</v>
      </c>
    </row>
    <row r="8" spans="3:14" x14ac:dyDescent="0.3">
      <c r="C8" s="8" t="s">
        <v>123</v>
      </c>
      <c r="D8" s="8">
        <v>25000</v>
      </c>
    </row>
    <row r="9" spans="3:14" x14ac:dyDescent="0.3">
      <c r="C9" s="6" t="s">
        <v>124</v>
      </c>
      <c r="D9" s="6">
        <v>3000</v>
      </c>
    </row>
    <row r="10" spans="3:14" ht="15.6" x14ac:dyDescent="0.3">
      <c r="C10" s="8" t="s">
        <v>125</v>
      </c>
      <c r="D10" s="8">
        <v>15000</v>
      </c>
      <c r="F10" s="93" t="s">
        <v>126</v>
      </c>
      <c r="G10" s="93"/>
      <c r="H10" s="93"/>
    </row>
    <row r="11" spans="3:14" x14ac:dyDescent="0.3">
      <c r="C11" s="6" t="s">
        <v>127</v>
      </c>
      <c r="D11" s="14">
        <f ca="1">RANDBETWEEN(15000,50000)</f>
        <v>21984</v>
      </c>
    </row>
    <row r="12" spans="3:14" x14ac:dyDescent="0.3">
      <c r="C12" s="8" t="s">
        <v>128</v>
      </c>
      <c r="D12" s="14">
        <f t="shared" ref="D12:D24" ca="1" si="0">RANDBETWEEN(15000,50000)</f>
        <v>39522</v>
      </c>
      <c r="G12">
        <f ca="1">COUNTIF(D5:D24,"&lt;5000")</f>
        <v>2</v>
      </c>
    </row>
    <row r="13" spans="3:14" x14ac:dyDescent="0.3">
      <c r="C13" s="6" t="s">
        <v>129</v>
      </c>
      <c r="D13" s="14">
        <f t="shared" ca="1" si="0"/>
        <v>20008</v>
      </c>
    </row>
    <row r="14" spans="3:14" x14ac:dyDescent="0.3">
      <c r="C14" s="8" t="s">
        <v>130</v>
      </c>
      <c r="D14" s="14">
        <f t="shared" ca="1" si="0"/>
        <v>38132</v>
      </c>
    </row>
    <row r="15" spans="3:14" x14ac:dyDescent="0.3">
      <c r="C15" s="6" t="s">
        <v>131</v>
      </c>
      <c r="D15" s="14">
        <f t="shared" ca="1" si="0"/>
        <v>33467</v>
      </c>
    </row>
    <row r="16" spans="3:14" x14ac:dyDescent="0.3">
      <c r="C16" s="8" t="s">
        <v>132</v>
      </c>
      <c r="D16" s="14">
        <f t="shared" ca="1" si="0"/>
        <v>29396</v>
      </c>
    </row>
    <row r="17" spans="3:4" x14ac:dyDescent="0.3">
      <c r="C17" s="6" t="s">
        <v>133</v>
      </c>
      <c r="D17" s="14">
        <f t="shared" ca="1" si="0"/>
        <v>48706</v>
      </c>
    </row>
    <row r="18" spans="3:4" x14ac:dyDescent="0.3">
      <c r="C18" s="8" t="s">
        <v>134</v>
      </c>
      <c r="D18" s="14">
        <f t="shared" ca="1" si="0"/>
        <v>47841</v>
      </c>
    </row>
    <row r="19" spans="3:4" x14ac:dyDescent="0.3">
      <c r="C19" s="6" t="s">
        <v>135</v>
      </c>
      <c r="D19" s="14">
        <f t="shared" ca="1" si="0"/>
        <v>42528</v>
      </c>
    </row>
    <row r="20" spans="3:4" x14ac:dyDescent="0.3">
      <c r="C20" s="8" t="s">
        <v>136</v>
      </c>
      <c r="D20" s="14">
        <f t="shared" ca="1" si="0"/>
        <v>18784</v>
      </c>
    </row>
    <row r="21" spans="3:4" x14ac:dyDescent="0.3">
      <c r="C21" s="6" t="s">
        <v>137</v>
      </c>
      <c r="D21" s="14">
        <f t="shared" ca="1" si="0"/>
        <v>21743</v>
      </c>
    </row>
    <row r="22" spans="3:4" x14ac:dyDescent="0.3">
      <c r="C22" s="8" t="s">
        <v>138</v>
      </c>
      <c r="D22" s="14">
        <f t="shared" ca="1" si="0"/>
        <v>25029</v>
      </c>
    </row>
    <row r="23" spans="3:4" x14ac:dyDescent="0.3">
      <c r="C23" s="6" t="s">
        <v>139</v>
      </c>
      <c r="D23" s="14">
        <f t="shared" ca="1" si="0"/>
        <v>21144</v>
      </c>
    </row>
    <row r="24" spans="3:4" x14ac:dyDescent="0.3">
      <c r="C24" s="8" t="s">
        <v>140</v>
      </c>
      <c r="D24" s="14">
        <f t="shared" ca="1" si="0"/>
        <v>40995</v>
      </c>
    </row>
    <row r="25" spans="3:4" x14ac:dyDescent="0.3">
      <c r="C25" s="9"/>
      <c r="D25" s="9"/>
    </row>
  </sheetData>
  <mergeCells count="3">
    <mergeCell ref="F2:N2"/>
    <mergeCell ref="F5:H5"/>
    <mergeCell ref="F10:H10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0227-6EF0-41CE-81DF-0EF892F26975}">
  <dimension ref="D2:M26"/>
  <sheetViews>
    <sheetView workbookViewId="0">
      <selection activeCell="Q67" sqref="Q67"/>
    </sheetView>
  </sheetViews>
  <sheetFormatPr defaultRowHeight="14.4" x14ac:dyDescent="0.3"/>
  <cols>
    <col min="4" max="4" width="12.33203125" customWidth="1"/>
    <col min="5" max="5" width="17.33203125" customWidth="1"/>
  </cols>
  <sheetData>
    <row r="2" spans="4:13" ht="28.8" x14ac:dyDescent="0.55000000000000004">
      <c r="F2" s="94" t="s">
        <v>141</v>
      </c>
      <c r="G2" s="95"/>
      <c r="H2" s="95"/>
      <c r="I2" s="95"/>
      <c r="J2" s="95"/>
      <c r="K2" s="95"/>
      <c r="L2" s="95"/>
      <c r="M2" s="95"/>
    </row>
    <row r="4" spans="4:13" ht="15" thickBot="1" x14ac:dyDescent="0.35">
      <c r="D4" s="64" t="s">
        <v>142</v>
      </c>
      <c r="E4" s="63" t="s">
        <v>39</v>
      </c>
    </row>
    <row r="5" spans="4:13" x14ac:dyDescent="0.3">
      <c r="D5" s="5" t="s">
        <v>143</v>
      </c>
      <c r="E5" s="6">
        <v>22000</v>
      </c>
    </row>
    <row r="6" spans="4:13" x14ac:dyDescent="0.3">
      <c r="D6" s="7" t="s">
        <v>144</v>
      </c>
      <c r="E6" s="8">
        <v>3500</v>
      </c>
      <c r="H6" s="95" t="s">
        <v>145</v>
      </c>
      <c r="I6" s="95"/>
      <c r="J6" s="95"/>
      <c r="K6" s="95"/>
    </row>
    <row r="7" spans="4:13" x14ac:dyDescent="0.3">
      <c r="D7" s="5" t="s">
        <v>146</v>
      </c>
      <c r="E7" s="6">
        <v>58000</v>
      </c>
      <c r="H7" s="95" t="s">
        <v>147</v>
      </c>
      <c r="I7" s="95"/>
      <c r="J7" s="95"/>
      <c r="K7" s="95"/>
    </row>
    <row r="8" spans="4:13" x14ac:dyDescent="0.3">
      <c r="D8" s="7" t="s">
        <v>148</v>
      </c>
      <c r="E8" s="8">
        <v>1800</v>
      </c>
    </row>
    <row r="9" spans="4:13" x14ac:dyDescent="0.3">
      <c r="D9" s="5" t="s">
        <v>149</v>
      </c>
      <c r="E9" s="6">
        <v>12000</v>
      </c>
    </row>
    <row r="10" spans="4:13" x14ac:dyDescent="0.3">
      <c r="D10" s="5" t="s">
        <v>143</v>
      </c>
      <c r="E10" s="13">
        <f ca="1">RANDBETWEEN(15000,50000)</f>
        <v>18300</v>
      </c>
    </row>
    <row r="11" spans="4:13" x14ac:dyDescent="0.3">
      <c r="D11" s="7" t="s">
        <v>144</v>
      </c>
      <c r="E11" s="13">
        <f t="shared" ref="E11:E24" ca="1" si="0">RANDBETWEEN(15000,50000)</f>
        <v>44561</v>
      </c>
    </row>
    <row r="12" spans="4:13" x14ac:dyDescent="0.3">
      <c r="D12" s="5" t="s">
        <v>146</v>
      </c>
      <c r="E12" s="13">
        <f t="shared" ca="1" si="0"/>
        <v>26109</v>
      </c>
    </row>
    <row r="13" spans="4:13" x14ac:dyDescent="0.3">
      <c r="D13" s="7" t="s">
        <v>148</v>
      </c>
      <c r="E13" s="13">
        <f t="shared" ca="1" si="0"/>
        <v>36721</v>
      </c>
    </row>
    <row r="14" spans="4:13" x14ac:dyDescent="0.3">
      <c r="D14" s="5" t="s">
        <v>149</v>
      </c>
      <c r="E14" s="13">
        <f t="shared" ca="1" si="0"/>
        <v>17282</v>
      </c>
    </row>
    <row r="15" spans="4:13" x14ac:dyDescent="0.3">
      <c r="D15" s="5" t="s">
        <v>143</v>
      </c>
      <c r="E15" s="13">
        <f t="shared" ca="1" si="0"/>
        <v>39765</v>
      </c>
    </row>
    <row r="16" spans="4:13" x14ac:dyDescent="0.3">
      <c r="D16" s="7" t="s">
        <v>144</v>
      </c>
      <c r="E16" s="13">
        <f t="shared" ca="1" si="0"/>
        <v>35701</v>
      </c>
    </row>
    <row r="17" spans="4:5" x14ac:dyDescent="0.3">
      <c r="D17" s="5" t="s">
        <v>146</v>
      </c>
      <c r="E17" s="13">
        <f t="shared" ca="1" si="0"/>
        <v>43226</v>
      </c>
    </row>
    <row r="18" spans="4:5" x14ac:dyDescent="0.3">
      <c r="D18" s="7" t="s">
        <v>148</v>
      </c>
      <c r="E18" s="13">
        <f t="shared" ca="1" si="0"/>
        <v>26954</v>
      </c>
    </row>
    <row r="19" spans="4:5" x14ac:dyDescent="0.3">
      <c r="D19" s="5" t="s">
        <v>149</v>
      </c>
      <c r="E19" s="13">
        <f t="shared" ca="1" si="0"/>
        <v>32857</v>
      </c>
    </row>
    <row r="20" spans="4:5" x14ac:dyDescent="0.3">
      <c r="D20" s="5" t="s">
        <v>143</v>
      </c>
      <c r="E20" s="13">
        <f t="shared" ca="1" si="0"/>
        <v>44591</v>
      </c>
    </row>
    <row r="21" spans="4:5" x14ac:dyDescent="0.3">
      <c r="D21" s="7" t="s">
        <v>144</v>
      </c>
      <c r="E21" s="13">
        <f t="shared" ca="1" si="0"/>
        <v>32148</v>
      </c>
    </row>
    <row r="22" spans="4:5" x14ac:dyDescent="0.3">
      <c r="D22" s="5" t="s">
        <v>146</v>
      </c>
      <c r="E22" s="13">
        <f t="shared" ca="1" si="0"/>
        <v>45939</v>
      </c>
    </row>
    <row r="23" spans="4:5" x14ac:dyDescent="0.3">
      <c r="D23" s="7" t="s">
        <v>148</v>
      </c>
      <c r="E23" s="13">
        <f t="shared" ca="1" si="0"/>
        <v>27423</v>
      </c>
    </row>
    <row r="24" spans="4:5" x14ac:dyDescent="0.3">
      <c r="D24" s="5" t="s">
        <v>149</v>
      </c>
      <c r="E24" s="13">
        <f t="shared" ca="1" si="0"/>
        <v>25083</v>
      </c>
    </row>
    <row r="25" spans="4:5" x14ac:dyDescent="0.3">
      <c r="D25" s="5" t="s">
        <v>143</v>
      </c>
      <c r="E25" s="6">
        <v>12950</v>
      </c>
    </row>
    <row r="26" spans="4:5" x14ac:dyDescent="0.3">
      <c r="D26" s="7" t="s">
        <v>144</v>
      </c>
      <c r="E26" s="8">
        <v>10780</v>
      </c>
    </row>
  </sheetData>
  <mergeCells count="3">
    <mergeCell ref="F2:M2"/>
    <mergeCell ref="H6:K6"/>
    <mergeCell ref="H7:K7"/>
  </mergeCells>
  <conditionalFormatting sqref="E5:E26">
    <cfRule type="cellIs" dxfId="6" priority="1" operator="lessThan">
      <formula>5000</formula>
    </cfRule>
    <cfRule type="cellIs" dxfId="5" priority="2" operator="greaterThan">
      <formula>20000</formula>
    </cfRule>
  </conditionalFormatting>
  <conditionalFormatting sqref="P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9249-3EFA-4820-B25C-9E762A8EC489}">
  <dimension ref="D2:AB25"/>
  <sheetViews>
    <sheetView topLeftCell="P1" workbookViewId="0">
      <selection activeCell="Y12" sqref="Y12"/>
    </sheetView>
  </sheetViews>
  <sheetFormatPr defaultRowHeight="14.4" x14ac:dyDescent="0.3"/>
  <cols>
    <col min="4" max="4" width="13" customWidth="1"/>
    <col min="5" max="5" width="13.33203125" customWidth="1"/>
    <col min="6" max="6" width="12.6640625" customWidth="1"/>
  </cols>
  <sheetData>
    <row r="2" spans="4:28" ht="13.5" customHeight="1" x14ac:dyDescent="0.55000000000000004">
      <c r="E2" s="96" t="s">
        <v>150</v>
      </c>
      <c r="F2" s="97"/>
      <c r="G2" s="97"/>
      <c r="H2" s="97"/>
      <c r="I2" s="97"/>
      <c r="J2" s="97"/>
      <c r="K2" s="97"/>
      <c r="L2" s="97"/>
      <c r="M2" s="97"/>
      <c r="U2" s="98" t="s">
        <v>150</v>
      </c>
      <c r="V2" s="82"/>
      <c r="W2" s="82"/>
      <c r="X2" s="82"/>
      <c r="Y2" s="82"/>
      <c r="Z2" s="82"/>
      <c r="AA2" s="82"/>
      <c r="AB2" s="82"/>
    </row>
    <row r="3" spans="4:28" x14ac:dyDescent="0.3">
      <c r="U3" s="82"/>
      <c r="V3" s="82"/>
      <c r="W3" s="82"/>
      <c r="X3" s="82"/>
      <c r="Y3" s="82"/>
      <c r="Z3" s="82"/>
      <c r="AA3" s="82"/>
      <c r="AB3" s="82"/>
    </row>
    <row r="4" spans="4:28" x14ac:dyDescent="0.3">
      <c r="D4" s="64" t="s">
        <v>58</v>
      </c>
      <c r="E4" s="63" t="s">
        <v>2</v>
      </c>
      <c r="F4" s="63" t="s">
        <v>151</v>
      </c>
    </row>
    <row r="5" spans="4:28" x14ac:dyDescent="0.3">
      <c r="D5" s="5">
        <v>1</v>
      </c>
      <c r="E5" s="6" t="s">
        <v>103</v>
      </c>
      <c r="F5" s="6">
        <v>85</v>
      </c>
      <c r="S5" s="68" t="s">
        <v>58</v>
      </c>
      <c r="T5" s="68" t="s">
        <v>2</v>
      </c>
      <c r="U5" s="68" t="s">
        <v>151</v>
      </c>
    </row>
    <row r="6" spans="4:28" x14ac:dyDescent="0.3">
      <c r="D6" s="7">
        <v>2</v>
      </c>
      <c r="E6" s="8" t="s">
        <v>152</v>
      </c>
      <c r="F6" s="8">
        <v>72</v>
      </c>
      <c r="S6" s="69">
        <v>1</v>
      </c>
      <c r="T6" s="69" t="s">
        <v>103</v>
      </c>
      <c r="U6" s="69">
        <v>85</v>
      </c>
    </row>
    <row r="7" spans="4:28" x14ac:dyDescent="0.3">
      <c r="D7" s="5">
        <v>3</v>
      </c>
      <c r="E7" s="6" t="s">
        <v>153</v>
      </c>
      <c r="F7" s="6">
        <v>39</v>
      </c>
      <c r="S7" s="70">
        <v>2</v>
      </c>
      <c r="T7" s="70" t="s">
        <v>152</v>
      </c>
      <c r="U7" s="70">
        <v>72</v>
      </c>
      <c r="W7" s="82" t="s">
        <v>154</v>
      </c>
      <c r="X7" s="82"/>
      <c r="Y7" s="82"/>
      <c r="Z7" s="82"/>
      <c r="AA7" s="82"/>
    </row>
    <row r="8" spans="4:28" x14ac:dyDescent="0.3">
      <c r="D8" s="7">
        <v>4</v>
      </c>
      <c r="E8" s="8" t="s">
        <v>155</v>
      </c>
      <c r="F8" s="8">
        <v>91</v>
      </c>
      <c r="S8" s="69">
        <v>3</v>
      </c>
      <c r="T8" s="69" t="s">
        <v>153</v>
      </c>
      <c r="U8" s="69">
        <v>39</v>
      </c>
      <c r="W8" s="82" t="s">
        <v>156</v>
      </c>
      <c r="X8" s="82"/>
      <c r="Y8" s="82"/>
      <c r="Z8" s="82"/>
      <c r="AA8" s="82"/>
    </row>
    <row r="9" spans="4:28" x14ac:dyDescent="0.3">
      <c r="D9" s="5">
        <v>5</v>
      </c>
      <c r="E9" s="6" t="s">
        <v>157</v>
      </c>
      <c r="F9" s="6">
        <v>28</v>
      </c>
      <c r="S9" s="70">
        <v>4</v>
      </c>
      <c r="T9" s="70" t="s">
        <v>155</v>
      </c>
      <c r="U9" s="70">
        <v>91</v>
      </c>
    </row>
    <row r="10" spans="4:28" x14ac:dyDescent="0.3">
      <c r="D10" s="5">
        <v>6</v>
      </c>
      <c r="E10" s="6" t="s">
        <v>103</v>
      </c>
      <c r="F10" s="14">
        <f ca="1">CHOOSE(RANDBETWEEN(1,5),$F$5,$F$6,$F$7,$F$8,$F$9)</f>
        <v>28</v>
      </c>
      <c r="S10" s="69">
        <v>5</v>
      </c>
      <c r="T10" s="69" t="s">
        <v>157</v>
      </c>
      <c r="U10" s="69">
        <v>28</v>
      </c>
    </row>
    <row r="11" spans="4:28" x14ac:dyDescent="0.3">
      <c r="D11" s="7">
        <v>7</v>
      </c>
      <c r="E11" s="8" t="s">
        <v>152</v>
      </c>
      <c r="F11" s="14">
        <f t="shared" ref="F11:F24" ca="1" si="0">CHOOSE(RANDBETWEEN(1,5),$F$5,$F$6,$F$7,$F$8,$F$9)</f>
        <v>91</v>
      </c>
      <c r="S11" s="69">
        <v>6</v>
      </c>
      <c r="T11" s="69" t="s">
        <v>103</v>
      </c>
      <c r="U11" s="71">
        <f ca="1">CHOOSE(RANDBETWEEN(1,5),$U$6,$U$7,$U$8,$U$9,$U$10)</f>
        <v>28</v>
      </c>
    </row>
    <row r="12" spans="4:28" x14ac:dyDescent="0.3">
      <c r="D12" s="5">
        <v>8</v>
      </c>
      <c r="E12" s="6" t="s">
        <v>153</v>
      </c>
      <c r="F12" s="14">
        <f t="shared" ca="1" si="0"/>
        <v>39</v>
      </c>
      <c r="S12" s="70">
        <v>7</v>
      </c>
      <c r="T12" s="70" t="s">
        <v>152</v>
      </c>
      <c r="U12" s="71">
        <f t="shared" ref="U12:U25" ca="1" si="1">CHOOSE(RANDBETWEEN(1,5),$U$6,$U$7,$U$8,$U$9,$U$10)</f>
        <v>28</v>
      </c>
    </row>
    <row r="13" spans="4:28" x14ac:dyDescent="0.3">
      <c r="D13" s="7">
        <v>9</v>
      </c>
      <c r="E13" s="8" t="s">
        <v>155</v>
      </c>
      <c r="F13" s="14">
        <f t="shared" ca="1" si="0"/>
        <v>39</v>
      </c>
      <c r="S13" s="69">
        <v>8</v>
      </c>
      <c r="T13" s="69" t="s">
        <v>153</v>
      </c>
      <c r="U13" s="71">
        <f t="shared" ca="1" si="1"/>
        <v>39</v>
      </c>
    </row>
    <row r="14" spans="4:28" x14ac:dyDescent="0.3">
      <c r="D14" s="5">
        <v>10</v>
      </c>
      <c r="E14" s="6" t="s">
        <v>157</v>
      </c>
      <c r="F14" s="14">
        <f t="shared" ca="1" si="0"/>
        <v>85</v>
      </c>
      <c r="S14" s="70">
        <v>9</v>
      </c>
      <c r="T14" s="70" t="s">
        <v>155</v>
      </c>
      <c r="U14" s="71">
        <f t="shared" ca="1" si="1"/>
        <v>28</v>
      </c>
    </row>
    <row r="15" spans="4:28" x14ac:dyDescent="0.3">
      <c r="D15" s="5">
        <v>11</v>
      </c>
      <c r="E15" s="6" t="s">
        <v>103</v>
      </c>
      <c r="F15" s="14">
        <f t="shared" ca="1" si="0"/>
        <v>72</v>
      </c>
      <c r="S15" s="69">
        <v>10</v>
      </c>
      <c r="T15" s="69" t="s">
        <v>157</v>
      </c>
      <c r="U15" s="71">
        <f t="shared" ca="1" si="1"/>
        <v>72</v>
      </c>
    </row>
    <row r="16" spans="4:28" x14ac:dyDescent="0.3">
      <c r="D16" s="7">
        <v>12</v>
      </c>
      <c r="E16" s="8" t="s">
        <v>152</v>
      </c>
      <c r="F16" s="14">
        <f t="shared" ca="1" si="0"/>
        <v>85</v>
      </c>
      <c r="S16" s="69">
        <v>11</v>
      </c>
      <c r="T16" s="69" t="s">
        <v>103</v>
      </c>
      <c r="U16" s="71">
        <f t="shared" ca="1" si="1"/>
        <v>85</v>
      </c>
    </row>
    <row r="17" spans="4:21" x14ac:dyDescent="0.3">
      <c r="D17" s="5">
        <v>13</v>
      </c>
      <c r="E17" s="6" t="s">
        <v>153</v>
      </c>
      <c r="F17" s="14">
        <f t="shared" ca="1" si="0"/>
        <v>85</v>
      </c>
      <c r="S17" s="70">
        <v>12</v>
      </c>
      <c r="T17" s="70" t="s">
        <v>152</v>
      </c>
      <c r="U17" s="71">
        <f t="shared" ca="1" si="1"/>
        <v>28</v>
      </c>
    </row>
    <row r="18" spans="4:21" x14ac:dyDescent="0.3">
      <c r="D18" s="7">
        <v>14</v>
      </c>
      <c r="E18" s="8" t="s">
        <v>155</v>
      </c>
      <c r="F18" s="14">
        <f t="shared" ca="1" si="0"/>
        <v>39</v>
      </c>
      <c r="S18" s="69">
        <v>13</v>
      </c>
      <c r="T18" s="69" t="s">
        <v>153</v>
      </c>
      <c r="U18" s="71">
        <f t="shared" ca="1" si="1"/>
        <v>91</v>
      </c>
    </row>
    <row r="19" spans="4:21" x14ac:dyDescent="0.3">
      <c r="D19" s="5">
        <v>15</v>
      </c>
      <c r="E19" s="6" t="s">
        <v>157</v>
      </c>
      <c r="F19" s="14">
        <f t="shared" ca="1" si="0"/>
        <v>39</v>
      </c>
      <c r="S19" s="70">
        <v>14</v>
      </c>
      <c r="T19" s="70" t="s">
        <v>155</v>
      </c>
      <c r="U19" s="71">
        <f t="shared" ca="1" si="1"/>
        <v>72</v>
      </c>
    </row>
    <row r="20" spans="4:21" x14ac:dyDescent="0.3">
      <c r="D20" s="5">
        <v>16</v>
      </c>
      <c r="E20" s="6" t="s">
        <v>103</v>
      </c>
      <c r="F20" s="14">
        <f t="shared" ca="1" si="0"/>
        <v>72</v>
      </c>
      <c r="S20" s="69">
        <v>15</v>
      </c>
      <c r="T20" s="69" t="s">
        <v>157</v>
      </c>
      <c r="U20" s="71">
        <f t="shared" ca="1" si="1"/>
        <v>28</v>
      </c>
    </row>
    <row r="21" spans="4:21" x14ac:dyDescent="0.3">
      <c r="D21" s="7">
        <v>17</v>
      </c>
      <c r="E21" s="8" t="s">
        <v>152</v>
      </c>
      <c r="F21" s="14">
        <f t="shared" ca="1" si="0"/>
        <v>85</v>
      </c>
      <c r="S21" s="69">
        <v>16</v>
      </c>
      <c r="T21" s="69" t="s">
        <v>103</v>
      </c>
      <c r="U21" s="71">
        <f t="shared" ca="1" si="1"/>
        <v>39</v>
      </c>
    </row>
    <row r="22" spans="4:21" x14ac:dyDescent="0.3">
      <c r="D22" s="5">
        <v>18</v>
      </c>
      <c r="E22" s="6" t="s">
        <v>153</v>
      </c>
      <c r="F22" s="14">
        <f t="shared" ca="1" si="0"/>
        <v>91</v>
      </c>
      <c r="S22" s="70">
        <v>17</v>
      </c>
      <c r="T22" s="70" t="s">
        <v>152</v>
      </c>
      <c r="U22" s="71">
        <f t="shared" ca="1" si="1"/>
        <v>85</v>
      </c>
    </row>
    <row r="23" spans="4:21" x14ac:dyDescent="0.3">
      <c r="D23" s="7">
        <v>19</v>
      </c>
      <c r="E23" s="8" t="s">
        <v>155</v>
      </c>
      <c r="F23" s="14">
        <f t="shared" ca="1" si="0"/>
        <v>85</v>
      </c>
      <c r="S23" s="69">
        <v>18</v>
      </c>
      <c r="T23" s="69" t="s">
        <v>153</v>
      </c>
      <c r="U23" s="71">
        <f t="shared" ca="1" si="1"/>
        <v>85</v>
      </c>
    </row>
    <row r="24" spans="4:21" x14ac:dyDescent="0.3">
      <c r="D24" s="5">
        <v>20</v>
      </c>
      <c r="E24" s="6" t="s">
        <v>157</v>
      </c>
      <c r="F24" s="14">
        <f t="shared" ca="1" si="0"/>
        <v>91</v>
      </c>
      <c r="S24" s="70">
        <v>19</v>
      </c>
      <c r="T24" s="70" t="s">
        <v>155</v>
      </c>
      <c r="U24" s="71">
        <f t="shared" ca="1" si="1"/>
        <v>91</v>
      </c>
    </row>
    <row r="25" spans="4:21" x14ac:dyDescent="0.3">
      <c r="S25" s="69">
        <v>20</v>
      </c>
      <c r="T25" s="69" t="s">
        <v>157</v>
      </c>
      <c r="U25" s="71">
        <f t="shared" ca="1" si="1"/>
        <v>85</v>
      </c>
    </row>
  </sheetData>
  <mergeCells count="4">
    <mergeCell ref="W7:AA7"/>
    <mergeCell ref="W8:AA8"/>
    <mergeCell ref="E2:M2"/>
    <mergeCell ref="U2:AB3"/>
  </mergeCells>
  <conditionalFormatting sqref="U6:U25">
    <cfRule type="cellIs" dxfId="4" priority="1" operator="lessThan">
      <formula>40</formula>
    </cfRule>
    <cfRule type="cellIs" dxfId="3" priority="2" operator="greaterThan">
      <formula>75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895E-F3BF-4D5F-854A-6E1914E81BF2}">
  <dimension ref="C2:L31"/>
  <sheetViews>
    <sheetView tabSelected="1" workbookViewId="0">
      <selection activeCell="G20" sqref="G20"/>
    </sheetView>
  </sheetViews>
  <sheetFormatPr defaultRowHeight="14.4" x14ac:dyDescent="0.3"/>
  <cols>
    <col min="3" max="3" width="17.33203125" customWidth="1"/>
  </cols>
  <sheetData>
    <row r="2" spans="3:12" ht="23.4" x14ac:dyDescent="0.45">
      <c r="E2" s="99" t="s">
        <v>158</v>
      </c>
      <c r="F2" s="100"/>
      <c r="G2" s="100"/>
      <c r="H2" s="100"/>
      <c r="I2" s="100"/>
      <c r="J2" s="100"/>
      <c r="K2" s="100"/>
      <c r="L2" s="100"/>
    </row>
    <row r="3" spans="3:12" ht="15" thickBot="1" x14ac:dyDescent="0.35"/>
    <row r="4" spans="3:12" x14ac:dyDescent="0.3">
      <c r="C4" s="66" t="s">
        <v>97</v>
      </c>
      <c r="D4" s="66" t="s">
        <v>4</v>
      </c>
    </row>
    <row r="5" spans="3:12" x14ac:dyDescent="0.3">
      <c r="C5" s="66" t="s">
        <v>159</v>
      </c>
      <c r="D5" s="66">
        <v>28000</v>
      </c>
      <c r="H5" s="101" t="s">
        <v>160</v>
      </c>
      <c r="I5" s="101"/>
      <c r="J5" s="101"/>
      <c r="K5" s="101"/>
    </row>
    <row r="6" spans="3:12" x14ac:dyDescent="0.3">
      <c r="C6" s="67" t="s">
        <v>161</v>
      </c>
      <c r="D6" s="67">
        <v>34000</v>
      </c>
      <c r="H6" s="101" t="s">
        <v>162</v>
      </c>
      <c r="I6" s="101"/>
      <c r="J6" s="101"/>
      <c r="K6" s="101"/>
    </row>
    <row r="7" spans="3:12" x14ac:dyDescent="0.3">
      <c r="C7" s="66" t="s">
        <v>163</v>
      </c>
      <c r="D7" s="66">
        <v>51000</v>
      </c>
      <c r="H7" s="101" t="s">
        <v>164</v>
      </c>
      <c r="I7" s="101"/>
      <c r="J7" s="101"/>
      <c r="K7" s="101"/>
    </row>
    <row r="8" spans="3:12" x14ac:dyDescent="0.3">
      <c r="C8" s="67" t="s">
        <v>165</v>
      </c>
      <c r="D8" s="67">
        <v>47000</v>
      </c>
    </row>
    <row r="9" spans="3:12" x14ac:dyDescent="0.3">
      <c r="C9" s="66" t="s">
        <v>166</v>
      </c>
      <c r="D9" s="66">
        <v>29000</v>
      </c>
    </row>
    <row r="10" spans="3:12" x14ac:dyDescent="0.3">
      <c r="C10" s="66" t="s">
        <v>159</v>
      </c>
      <c r="D10" s="13">
        <f ca="1">RANDBETWEEN(15000,50000)</f>
        <v>41359</v>
      </c>
    </row>
    <row r="11" spans="3:12" x14ac:dyDescent="0.3">
      <c r="C11" s="67" t="s">
        <v>161</v>
      </c>
      <c r="D11" s="13">
        <f t="shared" ref="D11:D30" ca="1" si="0">RANDBETWEEN(15000,50000)</f>
        <v>15061</v>
      </c>
    </row>
    <row r="12" spans="3:12" x14ac:dyDescent="0.3">
      <c r="C12" s="66" t="s">
        <v>163</v>
      </c>
      <c r="D12" s="13">
        <f t="shared" ca="1" si="0"/>
        <v>16989</v>
      </c>
    </row>
    <row r="13" spans="3:12" x14ac:dyDescent="0.3">
      <c r="C13" s="67" t="s">
        <v>165</v>
      </c>
      <c r="D13" s="13">
        <f t="shared" ca="1" si="0"/>
        <v>30612</v>
      </c>
    </row>
    <row r="14" spans="3:12" x14ac:dyDescent="0.3">
      <c r="C14" s="66" t="s">
        <v>166</v>
      </c>
      <c r="D14" s="13">
        <f t="shared" ca="1" si="0"/>
        <v>22468</v>
      </c>
    </row>
    <row r="15" spans="3:12" x14ac:dyDescent="0.3">
      <c r="C15" s="66" t="s">
        <v>159</v>
      </c>
      <c r="D15" s="13">
        <f t="shared" ca="1" si="0"/>
        <v>35340</v>
      </c>
    </row>
    <row r="16" spans="3:12" x14ac:dyDescent="0.3">
      <c r="C16" s="67" t="s">
        <v>161</v>
      </c>
      <c r="D16" s="13">
        <f t="shared" ca="1" si="0"/>
        <v>20495</v>
      </c>
    </row>
    <row r="17" spans="3:4" x14ac:dyDescent="0.3">
      <c r="C17" s="66" t="s">
        <v>163</v>
      </c>
      <c r="D17" s="13">
        <f t="shared" ca="1" si="0"/>
        <v>29343</v>
      </c>
    </row>
    <row r="18" spans="3:4" x14ac:dyDescent="0.3">
      <c r="C18" s="67" t="s">
        <v>165</v>
      </c>
      <c r="D18" s="13">
        <f t="shared" ca="1" si="0"/>
        <v>17751</v>
      </c>
    </row>
    <row r="19" spans="3:4" x14ac:dyDescent="0.3">
      <c r="C19" s="66" t="s">
        <v>166</v>
      </c>
      <c r="D19" s="13">
        <f t="shared" ca="1" si="0"/>
        <v>26047</v>
      </c>
    </row>
    <row r="20" spans="3:4" x14ac:dyDescent="0.3">
      <c r="C20" s="66" t="s">
        <v>159</v>
      </c>
      <c r="D20" s="13">
        <f t="shared" ca="1" si="0"/>
        <v>45918</v>
      </c>
    </row>
    <row r="21" spans="3:4" x14ac:dyDescent="0.3">
      <c r="C21" s="67" t="s">
        <v>161</v>
      </c>
      <c r="D21" s="13">
        <f t="shared" ca="1" si="0"/>
        <v>38096</v>
      </c>
    </row>
    <row r="22" spans="3:4" x14ac:dyDescent="0.3">
      <c r="C22" s="66" t="s">
        <v>163</v>
      </c>
      <c r="D22" s="13">
        <f t="shared" ca="1" si="0"/>
        <v>28674</v>
      </c>
    </row>
    <row r="23" spans="3:4" x14ac:dyDescent="0.3">
      <c r="C23" s="67" t="s">
        <v>165</v>
      </c>
      <c r="D23" s="13">
        <f t="shared" ca="1" si="0"/>
        <v>17158</v>
      </c>
    </row>
    <row r="24" spans="3:4" x14ac:dyDescent="0.3">
      <c r="C24" s="66" t="s">
        <v>166</v>
      </c>
      <c r="D24" s="13">
        <f t="shared" ca="1" si="0"/>
        <v>35877</v>
      </c>
    </row>
    <row r="25" spans="3:4" x14ac:dyDescent="0.3">
      <c r="C25" s="66" t="s">
        <v>159</v>
      </c>
      <c r="D25" s="13">
        <f t="shared" ca="1" si="0"/>
        <v>29836</v>
      </c>
    </row>
    <row r="26" spans="3:4" x14ac:dyDescent="0.3">
      <c r="C26" s="67" t="s">
        <v>161</v>
      </c>
      <c r="D26" s="13">
        <f t="shared" ca="1" si="0"/>
        <v>43385</v>
      </c>
    </row>
    <row r="27" spans="3:4" x14ac:dyDescent="0.3">
      <c r="C27" s="66" t="s">
        <v>163</v>
      </c>
      <c r="D27" s="13">
        <f t="shared" ca="1" si="0"/>
        <v>48794</v>
      </c>
    </row>
    <row r="28" spans="3:4" x14ac:dyDescent="0.3">
      <c r="C28" s="67" t="s">
        <v>165</v>
      </c>
      <c r="D28" s="13">
        <f t="shared" ca="1" si="0"/>
        <v>45178</v>
      </c>
    </row>
    <row r="29" spans="3:4" x14ac:dyDescent="0.3">
      <c r="C29" s="66" t="s">
        <v>166</v>
      </c>
      <c r="D29" s="13">
        <f t="shared" ca="1" si="0"/>
        <v>21748</v>
      </c>
    </row>
    <row r="30" spans="3:4" x14ac:dyDescent="0.3">
      <c r="C30" s="66" t="s">
        <v>159</v>
      </c>
      <c r="D30" s="13">
        <f t="shared" ca="1" si="0"/>
        <v>26347</v>
      </c>
    </row>
    <row r="31" spans="3:4" x14ac:dyDescent="0.3">
      <c r="C31" s="36"/>
      <c r="D31" s="36"/>
    </row>
  </sheetData>
  <mergeCells count="4">
    <mergeCell ref="E2:L2"/>
    <mergeCell ref="H5:K5"/>
    <mergeCell ref="H6:K6"/>
    <mergeCell ref="H7:K7"/>
  </mergeCells>
  <conditionalFormatting sqref="D5:D30">
    <cfRule type="cellIs" dxfId="2" priority="1" operator="between">
      <formula>30000</formula>
      <formula>49999</formula>
    </cfRule>
    <cfRule type="cellIs" dxfId="1" priority="2" operator="lessThan">
      <formula>30000</formula>
    </cfRule>
    <cfRule type="cellIs" dxfId="0" priority="3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Task6</vt:lpstr>
      <vt:lpstr>Task7</vt:lpstr>
      <vt:lpstr>Task8</vt:lpstr>
      <vt:lpstr>Task9</vt:lpstr>
      <vt:lpstr>Task10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asdc42</dc:creator>
  <cp:keywords/>
  <dc:description/>
  <cp:lastModifiedBy>Patel Priyanshi</cp:lastModifiedBy>
  <cp:revision/>
  <dcterms:created xsi:type="dcterms:W3CDTF">2026-06-24T06:18:37Z</dcterms:created>
  <dcterms:modified xsi:type="dcterms:W3CDTF">2026-06-25T16:35:55Z</dcterms:modified>
  <cp:category/>
  <cp:contentStatus/>
</cp:coreProperties>
</file>