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YANSHI\Excel\"/>
    </mc:Choice>
  </mc:AlternateContent>
  <xr:revisionPtr revIDLastSave="0" documentId="8_{44C114C1-EBE5-40B4-B7B6-24CAE70FD94F}" xr6:coauthVersionLast="47" xr6:coauthVersionMax="47" xr10:uidLastSave="{00000000-0000-0000-0000-000000000000}"/>
  <bookViews>
    <workbookView xWindow="-108" yWindow="-108" windowWidth="23256" windowHeight="12456" activeTab="2" xr2:uid="{2A0CB5EC-5B9D-4D1B-9AB0-0F909BEE2D6A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3" l="1"/>
  <c r="E40" i="3"/>
  <c r="E34" i="3"/>
  <c r="E28" i="3"/>
  <c r="E22" i="3"/>
  <c r="F38" i="2" l="1"/>
  <c r="F44" i="2"/>
  <c r="F26" i="2"/>
  <c r="F31" i="2"/>
  <c r="G42" i="1"/>
  <c r="G51" i="1"/>
  <c r="G36" i="1"/>
  <c r="G29" i="1"/>
  <c r="G23" i="1"/>
  <c r="G18" i="1"/>
</calcChain>
</file>

<file path=xl/sharedStrings.xml><?xml version="1.0" encoding="utf-8"?>
<sst xmlns="http://schemas.openxmlformats.org/spreadsheetml/2006/main" count="191" uniqueCount="55">
  <si>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</si>
  <si>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</si>
  <si>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</si>
  <si>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</si>
  <si>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</si>
  <si>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</si>
  <si>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</si>
  <si>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</si>
  <si>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</si>
  <si>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</si>
  <si>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</si>
  <si>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</si>
  <si>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</si>
  <si>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</si>
  <si>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</si>
  <si>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</si>
  <si>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</si>
  <si>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</si>
  <si>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</si>
  <si>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</si>
  <si>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</si>
  <si>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</si>
  <si>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</si>
  <si>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</si>
  <si>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</si>
  <si>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</si>
  <si>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</si>
  <si>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</si>
  <si>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</si>
  <si>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</si>
  <si>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</si>
  <si>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</si>
  <si>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</si>
  <si>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VLOOKUP Tasks (1–6)</t>
  </si>
  <si>
    <t>Task:2Find the Department of employee with ID E103.</t>
  </si>
  <si>
    <t xml:space="preserve">             Task:3Find the Salary of employee Neha Singh using VLOOKUP.</t>
  </si>
  <si>
    <t xml:space="preserve">                           Task:1 Find the Name of employee using EmployeeID from Search_Input.</t>
  </si>
  <si>
    <t xml:space="preserve">                                                 Task:4Get the Location of employee E107.</t>
  </si>
  <si>
    <t>Task:5If EmployeeID is not found, display "Not Found".</t>
  </si>
  <si>
    <t>Task:6 Find the JoiningYear of employee E101.</t>
  </si>
  <si>
    <t>E109</t>
  </si>
  <si>
    <t>HLOOKUP Tasks (7–10)</t>
  </si>
  <si>
    <t>Bonus %</t>
  </si>
  <si>
    <t>Task7:Find the Bonus % for IT department.</t>
  </si>
  <si>
    <t>Task 8:Find the Bonus % for Finance department.</t>
  </si>
  <si>
    <t>Task 9:Calculate Bonus Amount for employee E104
(Bonus Amount = Salary × Bonus %)</t>
  </si>
  <si>
    <t xml:space="preserve">Bonus Amount </t>
  </si>
  <si>
    <t>Task 10: If department is invalid, display "No Bonus Data".</t>
  </si>
  <si>
    <t xml:space="preserve">Account </t>
  </si>
  <si>
    <t>XLOOKUP Tasks (11–15)</t>
  </si>
  <si>
    <t>Task 11: Find Salary using EmployeeID.</t>
  </si>
  <si>
    <t>Task 12: Find Department using Employee Name.</t>
  </si>
  <si>
    <t>Task 13: Fetch Location of employee Rohit Verma.</t>
  </si>
  <si>
    <t>Task 14: If EmployeeID = E999, return "Employee Not Found".</t>
  </si>
  <si>
    <t>Task 15:Find Bonus % using XLOOKUP from Department_Bonus (horizontal lookup).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</si>
</sst>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22"/>
      <color rgb="FF1F2328"/>
      <name val="Segoe UI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 wrapText="1" indent="1"/>
    </xf>
    <xf numFmtId="0" fontId="8" fillId="2" borderId="1" xfId="0" applyFont="1" applyFill="1" applyBorder="1" applyAlignment="1">
      <alignment horizontal="left" vertical="center" wrapText="1" indent="1"/>
    </xf>
    <xf numFmtId="9" fontId="8" fillId="2" borderId="1" xfId="0" applyNumberFormat="1" applyFont="1" applyFill="1" applyBorder="1" applyAlignment="1">
      <alignment horizontal="right" vertical="center" wrapText="1" indent="1"/>
    </xf>
    <xf numFmtId="9" fontId="0" fillId="0" borderId="0" xfId="1" applyFont="1"/>
    <xf numFmtId="0" fontId="0" fillId="5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9" fillId="5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10" fillId="0" borderId="0" xfId="0" applyFont="1"/>
    <xf numFmtId="0" fontId="11" fillId="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0C4A-D8B9-40A1-AF37-39F1704C0AA7}">
  <dimension ref="E1:L51"/>
  <sheetViews>
    <sheetView topLeftCell="A31" zoomScale="85" zoomScaleNormal="85" workbookViewId="0">
      <selection activeCell="G42" sqref="G42"/>
    </sheetView>
  </sheetViews>
  <sheetFormatPr defaultRowHeight="14.4" x14ac:dyDescent="0.3"/>
  <cols>
    <col min="6" max="6" width="21.6640625" customWidth="1"/>
    <col min="7" max="7" width="19.88671875" customWidth="1"/>
    <col min="8" max="8" width="21.6640625" customWidth="1"/>
    <col min="9" max="9" width="14" customWidth="1"/>
    <col min="10" max="10" width="18.5546875" customWidth="1"/>
    <col min="11" max="11" width="27.33203125" customWidth="1"/>
  </cols>
  <sheetData>
    <row r="1" spans="5:12" ht="32.4" x14ac:dyDescent="0.3">
      <c r="F1" s="23" t="s">
        <v>33</v>
      </c>
      <c r="G1" s="23"/>
      <c r="H1" s="23"/>
      <c r="I1" s="23"/>
      <c r="J1" s="23"/>
      <c r="K1" s="23"/>
      <c r="L1" s="23"/>
    </row>
    <row r="2" spans="5:12" ht="15" thickBot="1" x14ac:dyDescent="0.35"/>
    <row r="3" spans="5:12" ht="19.8" thickBot="1" x14ac:dyDescent="0.35">
      <c r="F3" s="1" t="s">
        <v>0</v>
      </c>
      <c r="G3" s="2" t="s">
        <v>1</v>
      </c>
      <c r="H3" s="2" t="s">
        <v>2</v>
      </c>
      <c r="I3" s="2" t="s">
        <v>3</v>
      </c>
      <c r="J3" s="1" t="s">
        <v>4</v>
      </c>
      <c r="K3" s="1" t="s">
        <v>5</v>
      </c>
    </row>
    <row r="4" spans="5:12" ht="19.8" thickBot="1" x14ac:dyDescent="0.35">
      <c r="F4" s="3" t="s">
        <v>6</v>
      </c>
      <c r="G4" s="4" t="s">
        <v>7</v>
      </c>
      <c r="H4" s="4" t="s">
        <v>8</v>
      </c>
      <c r="I4" s="4" t="s">
        <v>9</v>
      </c>
      <c r="J4" s="3">
        <v>45000</v>
      </c>
      <c r="K4" s="3">
        <v>2019</v>
      </c>
    </row>
    <row r="5" spans="5:12" ht="19.8" thickBot="1" x14ac:dyDescent="0.35">
      <c r="F5" s="5" t="s">
        <v>10</v>
      </c>
      <c r="G5" s="6" t="s">
        <v>11</v>
      </c>
      <c r="H5" s="6" t="s">
        <v>12</v>
      </c>
      <c r="I5" s="6" t="s">
        <v>13</v>
      </c>
      <c r="J5" s="5">
        <v>52000</v>
      </c>
      <c r="K5" s="5">
        <v>2018</v>
      </c>
    </row>
    <row r="6" spans="5:12" ht="19.8" thickBot="1" x14ac:dyDescent="0.35">
      <c r="F6" s="3" t="s">
        <v>14</v>
      </c>
      <c r="G6" s="4" t="s">
        <v>15</v>
      </c>
      <c r="H6" s="4" t="s">
        <v>16</v>
      </c>
      <c r="I6" s="4" t="s">
        <v>17</v>
      </c>
      <c r="J6" s="3">
        <v>65000</v>
      </c>
      <c r="K6" s="3">
        <v>2020</v>
      </c>
    </row>
    <row r="7" spans="5:12" ht="19.8" thickBot="1" x14ac:dyDescent="0.35">
      <c r="F7" s="5" t="s">
        <v>18</v>
      </c>
      <c r="G7" s="6" t="s">
        <v>19</v>
      </c>
      <c r="H7" s="6" t="s">
        <v>20</v>
      </c>
      <c r="I7" s="6" t="s">
        <v>21</v>
      </c>
      <c r="J7" s="5">
        <v>58000</v>
      </c>
      <c r="K7" s="5">
        <v>2017</v>
      </c>
    </row>
    <row r="8" spans="5:12" ht="19.8" thickBot="1" x14ac:dyDescent="0.35">
      <c r="F8" s="3" t="s">
        <v>22</v>
      </c>
      <c r="G8" s="4" t="s">
        <v>23</v>
      </c>
      <c r="H8" s="4" t="s">
        <v>24</v>
      </c>
      <c r="I8" s="4" t="s">
        <v>9</v>
      </c>
      <c r="J8" s="3">
        <v>48000</v>
      </c>
      <c r="K8" s="3">
        <v>2021</v>
      </c>
    </row>
    <row r="9" spans="5:12" ht="19.8" thickBot="1" x14ac:dyDescent="0.35">
      <c r="F9" s="5" t="s">
        <v>25</v>
      </c>
      <c r="G9" s="6" t="s">
        <v>26</v>
      </c>
      <c r="H9" s="6" t="s">
        <v>16</v>
      </c>
      <c r="I9" s="6" t="s">
        <v>27</v>
      </c>
      <c r="J9" s="5">
        <v>62000</v>
      </c>
      <c r="K9" s="5">
        <v>2019</v>
      </c>
    </row>
    <row r="10" spans="5:12" ht="19.8" thickBot="1" x14ac:dyDescent="0.35">
      <c r="F10" s="3" t="s">
        <v>28</v>
      </c>
      <c r="G10" s="4" t="s">
        <v>29</v>
      </c>
      <c r="H10" s="4" t="s">
        <v>8</v>
      </c>
      <c r="I10" s="4" t="s">
        <v>30</v>
      </c>
      <c r="J10" s="3">
        <v>47000</v>
      </c>
      <c r="K10" s="3">
        <v>2020</v>
      </c>
    </row>
    <row r="11" spans="5:12" ht="19.8" thickBot="1" x14ac:dyDescent="0.35">
      <c r="F11" s="5" t="s">
        <v>31</v>
      </c>
      <c r="G11" s="6" t="s">
        <v>32</v>
      </c>
      <c r="H11" s="6" t="s">
        <v>12</v>
      </c>
      <c r="I11" s="6" t="s">
        <v>17</v>
      </c>
      <c r="J11" s="5">
        <v>54000</v>
      </c>
      <c r="K11" s="5">
        <v>2016</v>
      </c>
    </row>
    <row r="15" spans="5:12" x14ac:dyDescent="0.3">
      <c r="E15" s="22" t="s">
        <v>36</v>
      </c>
      <c r="F15" s="20"/>
      <c r="G15" s="20"/>
      <c r="H15" s="20"/>
      <c r="I15" s="20"/>
      <c r="J15" s="20"/>
    </row>
    <row r="16" spans="5:12" ht="15" thickBot="1" x14ac:dyDescent="0.35"/>
    <row r="17" spans="5:10" ht="19.8" thickBot="1" x14ac:dyDescent="0.35">
      <c r="F17" s="7" t="s">
        <v>0</v>
      </c>
      <c r="G17" s="7" t="s">
        <v>1</v>
      </c>
    </row>
    <row r="18" spans="5:10" x14ac:dyDescent="0.3">
      <c r="F18" t="s">
        <v>6</v>
      </c>
      <c r="G18" t="str">
        <f>VLOOKUP(F18,F3:K11,2,0)</f>
        <v>Rahul Sharma</v>
      </c>
    </row>
    <row r="20" spans="5:10" x14ac:dyDescent="0.3">
      <c r="E20" s="22" t="s">
        <v>34</v>
      </c>
      <c r="F20" s="20"/>
      <c r="G20" s="20"/>
      <c r="H20" s="20"/>
      <c r="I20" s="20"/>
      <c r="J20" s="20"/>
    </row>
    <row r="21" spans="5:10" ht="15" thickBot="1" x14ac:dyDescent="0.35"/>
    <row r="22" spans="5:10" ht="19.8" thickBot="1" x14ac:dyDescent="0.35">
      <c r="F22" s="1" t="s">
        <v>0</v>
      </c>
      <c r="G22" s="2" t="s">
        <v>2</v>
      </c>
    </row>
    <row r="23" spans="5:10" ht="19.8" thickBot="1" x14ac:dyDescent="0.35">
      <c r="F23" s="2" t="s">
        <v>14</v>
      </c>
      <c r="G23" s="1" t="str">
        <f>VLOOKUP(F23,F3:K11,3,0)</f>
        <v>IT</v>
      </c>
    </row>
    <row r="25" spans="5:10" x14ac:dyDescent="0.3">
      <c r="E25" s="22" t="s">
        <v>35</v>
      </c>
      <c r="F25" s="20"/>
      <c r="G25" s="20"/>
      <c r="H25" s="20"/>
      <c r="I25" s="20"/>
      <c r="J25" s="20"/>
    </row>
    <row r="27" spans="5:10" ht="15" thickBot="1" x14ac:dyDescent="0.35"/>
    <row r="28" spans="5:10" ht="19.8" thickBot="1" x14ac:dyDescent="0.35">
      <c r="F28" s="2" t="s">
        <v>1</v>
      </c>
      <c r="G28" s="1" t="s">
        <v>4</v>
      </c>
    </row>
    <row r="29" spans="5:10" ht="19.8" thickBot="1" x14ac:dyDescent="0.35">
      <c r="F29" s="6" t="s">
        <v>19</v>
      </c>
      <c r="G29" s="6">
        <f>VLOOKUP(F29,G3:K11,4,0)</f>
        <v>58000</v>
      </c>
    </row>
    <row r="32" spans="5:10" x14ac:dyDescent="0.3">
      <c r="E32" s="24" t="s">
        <v>37</v>
      </c>
      <c r="F32" s="25"/>
      <c r="G32" s="25"/>
      <c r="H32" s="25"/>
      <c r="I32" s="25"/>
      <c r="J32" s="25"/>
    </row>
    <row r="34" spans="5:10" ht="15" thickBot="1" x14ac:dyDescent="0.35"/>
    <row r="35" spans="5:10" ht="19.8" thickBot="1" x14ac:dyDescent="0.35">
      <c r="F35" s="1" t="s">
        <v>0</v>
      </c>
      <c r="G35" s="2" t="s">
        <v>3</v>
      </c>
    </row>
    <row r="36" spans="5:10" x14ac:dyDescent="0.3">
      <c r="F36" t="s">
        <v>28</v>
      </c>
      <c r="G36" t="str">
        <f>VLOOKUP(F36,F3:K11,4,0)</f>
        <v>Hyderabad</v>
      </c>
    </row>
    <row r="39" spans="5:10" x14ac:dyDescent="0.3">
      <c r="E39" s="22" t="s">
        <v>38</v>
      </c>
      <c r="F39" s="20"/>
      <c r="G39" s="20"/>
      <c r="H39" s="20"/>
      <c r="I39" s="20"/>
      <c r="J39" s="20"/>
    </row>
    <row r="40" spans="5:10" ht="15" thickBot="1" x14ac:dyDescent="0.35"/>
    <row r="41" spans="5:10" ht="19.8" thickBot="1" x14ac:dyDescent="0.35">
      <c r="F41" s="1" t="s">
        <v>0</v>
      </c>
      <c r="G41" s="2" t="s">
        <v>1</v>
      </c>
    </row>
    <row r="42" spans="5:10" x14ac:dyDescent="0.3">
      <c r="F42" t="s">
        <v>40</v>
      </c>
      <c r="G42" t="str">
        <f>IFERROR(VLOOKUP(F42,F3:K11,2,0),"Not Found")</f>
        <v>Not Found</v>
      </c>
    </row>
    <row r="46" spans="5:10" x14ac:dyDescent="0.3">
      <c r="E46" s="22" t="s">
        <v>39</v>
      </c>
      <c r="F46" s="20"/>
      <c r="G46" s="20"/>
      <c r="H46" s="20"/>
      <c r="I46" s="20"/>
      <c r="J46" s="20"/>
    </row>
    <row r="48" spans="5:10" ht="15" thickBot="1" x14ac:dyDescent="0.35"/>
    <row r="49" spans="6:7" ht="19.8" thickBot="1" x14ac:dyDescent="0.35">
      <c r="F49" s="1" t="s">
        <v>0</v>
      </c>
      <c r="G49" s="1" t="s">
        <v>5</v>
      </c>
    </row>
    <row r="51" spans="6:7" x14ac:dyDescent="0.3">
      <c r="F51" t="s">
        <v>6</v>
      </c>
      <c r="G51">
        <f>VLOOKUP(F51,F3:K11,6,0)</f>
        <v>2019</v>
      </c>
    </row>
  </sheetData>
  <mergeCells count="7">
    <mergeCell ref="E39:J39"/>
    <mergeCell ref="E46:J46"/>
    <mergeCell ref="F1:L1"/>
    <mergeCell ref="E15:J15"/>
    <mergeCell ref="E20:J20"/>
    <mergeCell ref="E25:J25"/>
    <mergeCell ref="E32:J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8EA8-731A-4360-B232-791C16A58515}">
  <dimension ref="E2:N44"/>
  <sheetViews>
    <sheetView topLeftCell="A34" workbookViewId="0">
      <selection activeCell="E17" sqref="E17:J18"/>
    </sheetView>
  </sheetViews>
  <sheetFormatPr defaultRowHeight="14.4" x14ac:dyDescent="0.3"/>
  <cols>
    <col min="5" max="5" width="22.33203125" customWidth="1"/>
    <col min="6" max="6" width="18.6640625" customWidth="1"/>
    <col min="7" max="7" width="14.109375" customWidth="1"/>
    <col min="8" max="8" width="10.21875" customWidth="1"/>
    <col min="9" max="9" width="13.33203125" customWidth="1"/>
    <col min="10" max="10" width="14.109375" customWidth="1"/>
  </cols>
  <sheetData>
    <row r="2" spans="5:14" ht="23.4" x14ac:dyDescent="0.45">
      <c r="E2" s="19" t="s">
        <v>41</v>
      </c>
      <c r="F2" s="20"/>
      <c r="G2" s="20"/>
      <c r="H2" s="20"/>
      <c r="I2" s="20"/>
      <c r="J2" s="20"/>
      <c r="K2" s="20"/>
      <c r="L2" s="20"/>
      <c r="M2" s="20"/>
      <c r="N2" s="20"/>
    </row>
    <row r="4" spans="5:14" ht="15" thickBot="1" x14ac:dyDescent="0.35"/>
    <row r="5" spans="5:14" ht="19.8" thickBot="1" x14ac:dyDescent="0.35">
      <c r="E5" s="8" t="s">
        <v>0</v>
      </c>
      <c r="F5" s="7" t="s">
        <v>1</v>
      </c>
      <c r="G5" s="7" t="s">
        <v>2</v>
      </c>
      <c r="H5" s="7" t="s">
        <v>3</v>
      </c>
      <c r="I5" s="8" t="s">
        <v>4</v>
      </c>
      <c r="J5" s="8" t="s">
        <v>5</v>
      </c>
    </row>
    <row r="6" spans="5:14" ht="19.8" thickBot="1" x14ac:dyDescent="0.35">
      <c r="E6" s="9" t="s">
        <v>6</v>
      </c>
      <c r="F6" s="10" t="s">
        <v>7</v>
      </c>
      <c r="G6" s="10" t="s">
        <v>8</v>
      </c>
      <c r="H6" s="10" t="s">
        <v>9</v>
      </c>
      <c r="I6" s="9">
        <v>45000</v>
      </c>
      <c r="J6" s="9">
        <v>2019</v>
      </c>
    </row>
    <row r="7" spans="5:14" ht="19.8" thickBot="1" x14ac:dyDescent="0.35">
      <c r="E7" s="11" t="s">
        <v>10</v>
      </c>
      <c r="F7" s="12" t="s">
        <v>11</v>
      </c>
      <c r="G7" s="12" t="s">
        <v>12</v>
      </c>
      <c r="H7" s="12" t="s">
        <v>13</v>
      </c>
      <c r="I7" s="11">
        <v>52000</v>
      </c>
      <c r="J7" s="11">
        <v>2018</v>
      </c>
    </row>
    <row r="8" spans="5:14" ht="19.8" thickBot="1" x14ac:dyDescent="0.35">
      <c r="E8" s="9" t="s">
        <v>14</v>
      </c>
      <c r="F8" s="10" t="s">
        <v>15</v>
      </c>
      <c r="G8" s="10" t="s">
        <v>16</v>
      </c>
      <c r="H8" s="10" t="s">
        <v>17</v>
      </c>
      <c r="I8" s="9">
        <v>65000</v>
      </c>
      <c r="J8" s="9">
        <v>2020</v>
      </c>
    </row>
    <row r="9" spans="5:14" ht="19.8" thickBot="1" x14ac:dyDescent="0.35">
      <c r="E9" s="11" t="s">
        <v>18</v>
      </c>
      <c r="F9" s="12" t="s">
        <v>19</v>
      </c>
      <c r="G9" s="12" t="s">
        <v>20</v>
      </c>
      <c r="H9" s="12" t="s">
        <v>21</v>
      </c>
      <c r="I9" s="11">
        <v>58000</v>
      </c>
      <c r="J9" s="11">
        <v>2017</v>
      </c>
    </row>
    <row r="10" spans="5:14" ht="19.8" thickBot="1" x14ac:dyDescent="0.35">
      <c r="E10" s="9" t="s">
        <v>22</v>
      </c>
      <c r="F10" s="10" t="s">
        <v>23</v>
      </c>
      <c r="G10" s="10" t="s">
        <v>24</v>
      </c>
      <c r="H10" s="10" t="s">
        <v>9</v>
      </c>
      <c r="I10" s="9">
        <v>48000</v>
      </c>
      <c r="J10" s="9">
        <v>2021</v>
      </c>
    </row>
    <row r="11" spans="5:14" ht="19.8" thickBot="1" x14ac:dyDescent="0.35">
      <c r="E11" s="11" t="s">
        <v>25</v>
      </c>
      <c r="F11" s="12" t="s">
        <v>26</v>
      </c>
      <c r="G11" s="12" t="s">
        <v>16</v>
      </c>
      <c r="H11" s="12" t="s">
        <v>27</v>
      </c>
      <c r="I11" s="11">
        <v>62000</v>
      </c>
      <c r="J11" s="11">
        <v>2019</v>
      </c>
    </row>
    <row r="12" spans="5:14" ht="19.8" thickBot="1" x14ac:dyDescent="0.35">
      <c r="E12" s="9" t="s">
        <v>28</v>
      </c>
      <c r="F12" s="10" t="s">
        <v>29</v>
      </c>
      <c r="G12" s="10" t="s">
        <v>8</v>
      </c>
      <c r="H12" s="10" t="s">
        <v>30</v>
      </c>
      <c r="I12" s="9">
        <v>47000</v>
      </c>
      <c r="J12" s="9">
        <v>2020</v>
      </c>
    </row>
    <row r="13" spans="5:14" ht="19.8" thickBot="1" x14ac:dyDescent="0.35">
      <c r="E13" s="11" t="s">
        <v>31</v>
      </c>
      <c r="F13" s="12" t="s">
        <v>32</v>
      </c>
      <c r="G13" s="12" t="s">
        <v>12</v>
      </c>
      <c r="H13" s="12" t="s">
        <v>17</v>
      </c>
      <c r="I13" s="11">
        <v>54000</v>
      </c>
      <c r="J13" s="11">
        <v>2016</v>
      </c>
    </row>
    <row r="16" spans="5:14" ht="15" thickBot="1" x14ac:dyDescent="0.35"/>
    <row r="17" spans="5:10" ht="30.6" thickBot="1" x14ac:dyDescent="0.35">
      <c r="E17" s="13" t="s">
        <v>2</v>
      </c>
      <c r="F17" s="14" t="s">
        <v>8</v>
      </c>
      <c r="G17" s="14" t="s">
        <v>12</v>
      </c>
      <c r="H17" s="14" t="s">
        <v>16</v>
      </c>
      <c r="I17" s="14" t="s">
        <v>20</v>
      </c>
      <c r="J17" s="14" t="s">
        <v>24</v>
      </c>
    </row>
    <row r="18" spans="5:10" ht="15.6" thickBot="1" x14ac:dyDescent="0.35">
      <c r="E18" s="15" t="s">
        <v>42</v>
      </c>
      <c r="F18" s="16">
        <v>0.1</v>
      </c>
      <c r="G18" s="16">
        <v>0.08</v>
      </c>
      <c r="H18" s="16">
        <v>0.12</v>
      </c>
      <c r="I18" s="16">
        <v>0.15</v>
      </c>
      <c r="J18" s="16">
        <v>0.09</v>
      </c>
    </row>
    <row r="22" spans="5:10" x14ac:dyDescent="0.3">
      <c r="E22" s="18" t="s">
        <v>43</v>
      </c>
      <c r="F22" s="18"/>
      <c r="G22" s="18"/>
    </row>
    <row r="23" spans="5:10" ht="15" thickBot="1" x14ac:dyDescent="0.35"/>
    <row r="24" spans="5:10" ht="15.6" thickBot="1" x14ac:dyDescent="0.35">
      <c r="E24" s="13" t="s">
        <v>2</v>
      </c>
      <c r="F24" s="15" t="s">
        <v>42</v>
      </c>
    </row>
    <row r="26" spans="5:10" x14ac:dyDescent="0.3">
      <c r="E26" t="s">
        <v>16</v>
      </c>
      <c r="F26" s="17">
        <f>HLOOKUP(E26,H17:H18,2,0)</f>
        <v>0.12</v>
      </c>
    </row>
    <row r="29" spans="5:10" ht="15" thickBot="1" x14ac:dyDescent="0.35">
      <c r="E29" s="18" t="s">
        <v>44</v>
      </c>
      <c r="F29" s="18"/>
      <c r="G29" s="18"/>
    </row>
    <row r="30" spans="5:10" ht="19.8" thickBot="1" x14ac:dyDescent="0.35">
      <c r="E30" s="7" t="s">
        <v>2</v>
      </c>
      <c r="F30" s="15" t="s">
        <v>42</v>
      </c>
    </row>
    <row r="31" spans="5:10" x14ac:dyDescent="0.3">
      <c r="E31" t="s">
        <v>20</v>
      </c>
      <c r="F31" s="17">
        <f>HLOOKUP(E31,E17:J18,2,0)</f>
        <v>0.15</v>
      </c>
    </row>
    <row r="34" spans="5:7" x14ac:dyDescent="0.3">
      <c r="E34" s="21" t="s">
        <v>45</v>
      </c>
      <c r="F34" s="18"/>
      <c r="G34" s="18"/>
    </row>
    <row r="35" spans="5:7" x14ac:dyDescent="0.3">
      <c r="E35" s="18"/>
      <c r="F35" s="18"/>
      <c r="G35" s="18"/>
    </row>
    <row r="36" spans="5:7" ht="15" thickBot="1" x14ac:dyDescent="0.35"/>
    <row r="37" spans="5:7" ht="19.8" thickBot="1" x14ac:dyDescent="0.35">
      <c r="E37" s="8" t="s">
        <v>0</v>
      </c>
      <c r="F37" t="s">
        <v>46</v>
      </c>
    </row>
    <row r="38" spans="5:7" x14ac:dyDescent="0.3">
      <c r="E38" t="s">
        <v>18</v>
      </c>
      <c r="F38">
        <f>58000*(HLOOKUP(G9,E17:J18,2,0))</f>
        <v>8700</v>
      </c>
    </row>
    <row r="41" spans="5:7" x14ac:dyDescent="0.3">
      <c r="E41" s="18" t="s">
        <v>47</v>
      </c>
      <c r="F41" s="18"/>
      <c r="G41" s="18"/>
    </row>
    <row r="42" spans="5:7" ht="15" thickBot="1" x14ac:dyDescent="0.35"/>
    <row r="43" spans="5:7" ht="19.8" thickBot="1" x14ac:dyDescent="0.35">
      <c r="E43" s="13" t="s">
        <v>2</v>
      </c>
      <c r="F43" s="7" t="s">
        <v>1</v>
      </c>
    </row>
    <row r="44" spans="5:7" x14ac:dyDescent="0.3">
      <c r="E44" t="s">
        <v>48</v>
      </c>
      <c r="F44" s="17" t="str">
        <f>IFERROR(HLOOKUP(E44,E17:J18,2,0),"No Bouns Data")</f>
        <v>No Bouns Data</v>
      </c>
    </row>
  </sheetData>
  <mergeCells count="5">
    <mergeCell ref="E41:G41"/>
    <mergeCell ref="E2:N2"/>
    <mergeCell ref="E22:G22"/>
    <mergeCell ref="E29:G29"/>
    <mergeCell ref="E34:G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DB86-9B3B-4B2A-B62C-D38109124C07}">
  <dimension ref="D2:K47"/>
  <sheetViews>
    <sheetView tabSelected="1" topLeftCell="A28" workbookViewId="0">
      <selection activeCell="D47" sqref="D47"/>
    </sheetView>
  </sheetViews>
  <sheetFormatPr defaultRowHeight="14.4" x14ac:dyDescent="0.3"/>
  <cols>
    <col min="4" max="4" width="15.88671875" customWidth="1"/>
    <col min="5" max="5" width="16.44140625" customWidth="1"/>
    <col min="6" max="6" width="12.44140625" customWidth="1"/>
    <col min="7" max="7" width="19.109375" customWidth="1"/>
    <col min="9" max="9" width="20.109375" customWidth="1"/>
  </cols>
  <sheetData>
    <row r="2" spans="4:11" ht="21" x14ac:dyDescent="0.4">
      <c r="F2" s="26" t="s">
        <v>49</v>
      </c>
      <c r="G2" s="18"/>
      <c r="H2" s="18"/>
      <c r="I2" s="18"/>
      <c r="J2" s="18"/>
      <c r="K2" s="18"/>
    </row>
    <row r="3" spans="4:11" ht="15" thickBot="1" x14ac:dyDescent="0.35"/>
    <row r="4" spans="4:11" ht="19.8" thickBot="1" x14ac:dyDescent="0.35">
      <c r="D4" s="8" t="s">
        <v>0</v>
      </c>
      <c r="E4" s="7" t="s">
        <v>1</v>
      </c>
      <c r="F4" s="7" t="s">
        <v>2</v>
      </c>
      <c r="G4" s="7" t="s">
        <v>3</v>
      </c>
      <c r="H4" s="8" t="s">
        <v>4</v>
      </c>
      <c r="I4" s="8" t="s">
        <v>5</v>
      </c>
    </row>
    <row r="5" spans="4:11" ht="19.8" thickBot="1" x14ac:dyDescent="0.35">
      <c r="D5" s="9" t="s">
        <v>6</v>
      </c>
      <c r="E5" s="10" t="s">
        <v>7</v>
      </c>
      <c r="F5" s="10" t="s">
        <v>8</v>
      </c>
      <c r="G5" s="10" t="s">
        <v>9</v>
      </c>
      <c r="H5" s="9">
        <v>45000</v>
      </c>
      <c r="I5" s="9">
        <v>2019</v>
      </c>
    </row>
    <row r="6" spans="4:11" ht="19.8" thickBot="1" x14ac:dyDescent="0.35">
      <c r="D6" s="11" t="s">
        <v>10</v>
      </c>
      <c r="E6" s="12" t="s">
        <v>11</v>
      </c>
      <c r="F6" s="12" t="s">
        <v>12</v>
      </c>
      <c r="G6" s="12" t="s">
        <v>13</v>
      </c>
      <c r="H6" s="11">
        <v>52000</v>
      </c>
      <c r="I6" s="11">
        <v>2018</v>
      </c>
    </row>
    <row r="7" spans="4:11" ht="19.8" thickBot="1" x14ac:dyDescent="0.35">
      <c r="D7" s="9" t="s">
        <v>14</v>
      </c>
      <c r="E7" s="10" t="s">
        <v>15</v>
      </c>
      <c r="F7" s="10" t="s">
        <v>16</v>
      </c>
      <c r="G7" s="10" t="s">
        <v>17</v>
      </c>
      <c r="H7" s="9">
        <v>65000</v>
      </c>
      <c r="I7" s="9">
        <v>2020</v>
      </c>
    </row>
    <row r="8" spans="4:11" ht="19.8" thickBot="1" x14ac:dyDescent="0.35">
      <c r="D8" s="11" t="s">
        <v>18</v>
      </c>
      <c r="E8" s="12" t="s">
        <v>19</v>
      </c>
      <c r="F8" s="12" t="s">
        <v>20</v>
      </c>
      <c r="G8" s="12" t="s">
        <v>21</v>
      </c>
      <c r="H8" s="11">
        <v>58000</v>
      </c>
      <c r="I8" s="11">
        <v>2017</v>
      </c>
    </row>
    <row r="9" spans="4:11" ht="19.8" thickBot="1" x14ac:dyDescent="0.35">
      <c r="D9" s="9" t="s">
        <v>22</v>
      </c>
      <c r="E9" s="10" t="s">
        <v>23</v>
      </c>
      <c r="F9" s="10" t="s">
        <v>24</v>
      </c>
      <c r="G9" s="10" t="s">
        <v>9</v>
      </c>
      <c r="H9" s="9">
        <v>48000</v>
      </c>
      <c r="I9" s="9">
        <v>2021</v>
      </c>
    </row>
    <row r="10" spans="4:11" ht="19.8" thickBot="1" x14ac:dyDescent="0.35">
      <c r="D10" s="11" t="s">
        <v>25</v>
      </c>
      <c r="E10" s="12" t="s">
        <v>26</v>
      </c>
      <c r="F10" s="12" t="s">
        <v>16</v>
      </c>
      <c r="G10" s="12" t="s">
        <v>27</v>
      </c>
      <c r="H10" s="11">
        <v>62000</v>
      </c>
      <c r="I10" s="11">
        <v>2019</v>
      </c>
    </row>
    <row r="11" spans="4:11" ht="19.8" thickBot="1" x14ac:dyDescent="0.35">
      <c r="D11" s="9" t="s">
        <v>28</v>
      </c>
      <c r="E11" s="27" t="s">
        <v>29</v>
      </c>
      <c r="F11" s="10" t="s">
        <v>8</v>
      </c>
      <c r="G11" s="10" t="s">
        <v>30</v>
      </c>
      <c r="H11" s="9">
        <v>47000</v>
      </c>
      <c r="I11" s="9">
        <v>2020</v>
      </c>
    </row>
    <row r="12" spans="4:11" ht="19.8" thickBot="1" x14ac:dyDescent="0.35">
      <c r="D12" s="11" t="s">
        <v>31</v>
      </c>
      <c r="E12" s="12" t="s">
        <v>32</v>
      </c>
      <c r="F12" s="12" t="s">
        <v>12</v>
      </c>
      <c r="G12" s="12" t="s">
        <v>17</v>
      </c>
      <c r="H12" s="11">
        <v>54000</v>
      </c>
      <c r="I12" s="11">
        <v>2016</v>
      </c>
    </row>
    <row r="14" spans="4:11" ht="15" thickBot="1" x14ac:dyDescent="0.35"/>
    <row r="15" spans="4:11" ht="15.6" thickBot="1" x14ac:dyDescent="0.35">
      <c r="D15" s="13" t="s">
        <v>2</v>
      </c>
      <c r="E15" s="14" t="s">
        <v>8</v>
      </c>
      <c r="F15" s="14" t="s">
        <v>12</v>
      </c>
      <c r="G15" s="14" t="s">
        <v>16</v>
      </c>
      <c r="H15" s="14" t="s">
        <v>20</v>
      </c>
      <c r="I15" s="14" t="s">
        <v>24</v>
      </c>
    </row>
    <row r="16" spans="4:11" ht="15.6" thickBot="1" x14ac:dyDescent="0.35">
      <c r="D16" s="15" t="s">
        <v>42</v>
      </c>
      <c r="E16" s="16">
        <v>0.1</v>
      </c>
      <c r="F16" s="16">
        <v>0.08</v>
      </c>
      <c r="G16" s="16">
        <v>0.12</v>
      </c>
      <c r="H16" s="16">
        <v>0.15</v>
      </c>
      <c r="I16" s="16">
        <v>0.09</v>
      </c>
    </row>
    <row r="19" spans="4:7" x14ac:dyDescent="0.3">
      <c r="D19" s="18" t="s">
        <v>50</v>
      </c>
      <c r="E19" s="18"/>
      <c r="F19" s="18"/>
      <c r="G19" s="18"/>
    </row>
    <row r="20" spans="4:7" ht="15" thickBot="1" x14ac:dyDescent="0.35"/>
    <row r="21" spans="4:7" ht="19.8" thickBot="1" x14ac:dyDescent="0.35">
      <c r="D21" s="8" t="s">
        <v>0</v>
      </c>
      <c r="E21" s="8" t="s">
        <v>4</v>
      </c>
    </row>
    <row r="22" spans="4:7" x14ac:dyDescent="0.3">
      <c r="D22" t="s">
        <v>25</v>
      </c>
      <c r="E22" t="str">
        <f>_xlfn.XLOOKUP(D22,D5:D12,E5:E12)</f>
        <v>Pooja Mehta</v>
      </c>
    </row>
    <row r="25" spans="4:7" x14ac:dyDescent="0.3">
      <c r="D25" s="18" t="s">
        <v>51</v>
      </c>
      <c r="E25" s="18"/>
      <c r="F25" s="18"/>
      <c r="G25" s="18"/>
    </row>
    <row r="26" spans="4:7" ht="15" thickBot="1" x14ac:dyDescent="0.35"/>
    <row r="27" spans="4:7" ht="19.8" thickBot="1" x14ac:dyDescent="0.35">
      <c r="D27" s="7" t="s">
        <v>1</v>
      </c>
      <c r="E27" s="7" t="s">
        <v>2</v>
      </c>
    </row>
    <row r="28" spans="4:7" x14ac:dyDescent="0.3">
      <c r="D28" t="s">
        <v>26</v>
      </c>
      <c r="E28" t="str">
        <f>_xlfn.XLOOKUP(D28,E5:E12,F5:F12)</f>
        <v>IT</v>
      </c>
    </row>
    <row r="31" spans="4:7" x14ac:dyDescent="0.3">
      <c r="D31" s="18" t="s">
        <v>52</v>
      </c>
      <c r="E31" s="18"/>
      <c r="F31" s="18"/>
      <c r="G31" s="18"/>
    </row>
    <row r="32" spans="4:7" ht="15" thickBot="1" x14ac:dyDescent="0.35"/>
    <row r="33" spans="4:7" ht="19.8" thickBot="1" x14ac:dyDescent="0.35">
      <c r="D33" s="7" t="s">
        <v>1</v>
      </c>
      <c r="E33" s="7" t="s">
        <v>3</v>
      </c>
    </row>
    <row r="34" spans="4:7" x14ac:dyDescent="0.3">
      <c r="D34" t="s">
        <v>15</v>
      </c>
      <c r="E34" t="str">
        <f>_xlfn.XLOOKUP(D34,E5:E12,G5:G12)</f>
        <v>Bangalore</v>
      </c>
    </row>
    <row r="37" spans="4:7" x14ac:dyDescent="0.3">
      <c r="D37" s="18" t="s">
        <v>53</v>
      </c>
      <c r="E37" s="18"/>
      <c r="F37" s="18"/>
      <c r="G37" s="18"/>
    </row>
    <row r="38" spans="4:7" ht="15" thickBot="1" x14ac:dyDescent="0.35"/>
    <row r="39" spans="4:7" ht="19.8" thickBot="1" x14ac:dyDescent="0.35">
      <c r="D39" s="8" t="s">
        <v>0</v>
      </c>
      <c r="E39" s="7" t="s">
        <v>1</v>
      </c>
    </row>
    <row r="40" spans="4:7" x14ac:dyDescent="0.3">
      <c r="D40" t="s">
        <v>40</v>
      </c>
      <c r="E40" t="str">
        <f>IFERROR(_xlfn.XLOOKUP(D40,D5:D12,E5:E12),"Employee Not Founf")</f>
        <v>Employee Not Founf</v>
      </c>
    </row>
    <row r="43" spans="4:7" x14ac:dyDescent="0.3">
      <c r="D43" s="29" t="s">
        <v>54</v>
      </c>
      <c r="E43" s="29"/>
      <c r="F43" s="29"/>
      <c r="G43" s="29"/>
    </row>
    <row r="44" spans="4:7" ht="15" thickBot="1" x14ac:dyDescent="0.35"/>
    <row r="45" spans="4:7" ht="19.8" thickBot="1" x14ac:dyDescent="0.35">
      <c r="D45" s="7" t="s">
        <v>1</v>
      </c>
      <c r="E45" s="15" t="s">
        <v>42</v>
      </c>
    </row>
    <row r="46" spans="4:7" x14ac:dyDescent="0.3">
      <c r="D46" t="s">
        <v>16</v>
      </c>
      <c r="E46" s="17">
        <f>_xlfn.XLOOKUP(D46,D15:I15,D16:I16)</f>
        <v>0.12</v>
      </c>
    </row>
    <row r="47" spans="4:7" x14ac:dyDescent="0.3">
      <c r="D47" s="28"/>
    </row>
  </sheetData>
  <mergeCells count="6">
    <mergeCell ref="F2:K2"/>
    <mergeCell ref="D19:G19"/>
    <mergeCell ref="D25:G25"/>
    <mergeCell ref="D31:G31"/>
    <mergeCell ref="D37:G37"/>
    <mergeCell ref="D43:G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</dc:creator>
  <cp:lastModifiedBy>Patel Priyanshi</cp:lastModifiedBy>
  <dcterms:created xsi:type="dcterms:W3CDTF">2026-06-29T08:23:13Z</dcterms:created>
  <dcterms:modified xsi:type="dcterms:W3CDTF">2026-06-29T15:52:38Z</dcterms:modified>
</cp:coreProperties>
</file>