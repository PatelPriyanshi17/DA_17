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iyanshi_DA_17\Excel\"/>
    </mc:Choice>
  </mc:AlternateContent>
  <xr:revisionPtr revIDLastSave="0" documentId="13_ncr:1_{3F7D2956-F499-4553-B74F-33C72AE71FFC}" xr6:coauthVersionLast="47" xr6:coauthVersionMax="47" xr10:uidLastSave="{00000000-0000-0000-0000-000000000000}"/>
  <bookViews>
    <workbookView xWindow="-120" yWindow="-120" windowWidth="20730" windowHeight="11040" xr2:uid="{2A0CB5EC-5B9D-4D1B-9AB0-0F909BEE2D6A}"/>
  </bookViews>
  <sheets>
    <sheet name="VLOOKUP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42" i="1" l="1"/>
  <c r="G51" i="1"/>
  <c r="G36" i="1"/>
  <c r="G29" i="1"/>
  <c r="G23" i="1"/>
  <c r="G18" i="1"/>
</calcChain>
</file>

<file path=xl/sharedStrings.xml><?xml version="1.0" encoding="utf-8"?>
<sst xmlns="http://schemas.openxmlformats.org/spreadsheetml/2006/main" count="64" uniqueCount="42">
  <si>
    <t>EmployeeID</t>
  </si>
  <si>
    <t>Name</t>
  </si>
  <si>
    <t>Department</t>
  </si>
  <si>
    <t>Location</t>
  </si>
  <si>
    <t>Salary</t>
  </si>
  <si>
    <t>JoiningYear</t>
  </si>
  <si>
    <t>E101</t>
  </si>
  <si>
    <t>Rahul Sharma</t>
  </si>
  <si>
    <t>Sales</t>
  </si>
  <si>
    <t>Mumbai</t>
  </si>
  <si>
    <t>E102</t>
  </si>
  <si>
    <t>Ananya Gupta</t>
  </si>
  <si>
    <t>HR</t>
  </si>
  <si>
    <t>Delhi</t>
  </si>
  <si>
    <t>E103</t>
  </si>
  <si>
    <t>Rohit Verma</t>
  </si>
  <si>
    <t>IT</t>
  </si>
  <si>
    <t>Bangalore</t>
  </si>
  <si>
    <t>E104</t>
  </si>
  <si>
    <t>Neha Singh</t>
  </si>
  <si>
    <t>Finance</t>
  </si>
  <si>
    <t>Pune</t>
  </si>
  <si>
    <t>E105</t>
  </si>
  <si>
    <t>Aman Kumar</t>
  </si>
  <si>
    <t>Marketing</t>
  </si>
  <si>
    <t>E106</t>
  </si>
  <si>
    <t>Pooja Mehta</t>
  </si>
  <si>
    <t>Chennai</t>
  </si>
  <si>
    <t>E107</t>
  </si>
  <si>
    <t>Suresh Rao</t>
  </si>
  <si>
    <t>Hyderabad</t>
  </si>
  <si>
    <t>E108</t>
  </si>
  <si>
    <t>Kavita Iyer</t>
  </si>
  <si>
    <t>VLOOKUP Tasks (1–6)</t>
  </si>
  <si>
    <t>Task:2Find the Department of employee with ID E103.</t>
  </si>
  <si>
    <t xml:space="preserve">             Task:3Find the Salary of employee Neha Singh using VLOOKUP.</t>
  </si>
  <si>
    <t xml:space="preserve">                           Task:1 Find the Name of employee using EmployeeID from Search_Input.</t>
  </si>
  <si>
    <t xml:space="preserve">                                                 Task:4Get the Location of employee E107.</t>
  </si>
  <si>
    <t>Task:5If EmployeeID is not found, display "Not Found".</t>
  </si>
  <si>
    <t>Task:6 Find the JoiningYear of employee E101.</t>
  </si>
  <si>
    <t>E109</t>
  </si>
  <si>
    <t>HLOOKUP Tasks (7–10)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</si>
</sst>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rgb="FF1F2328"/>
      <name val="Segoe UI"/>
      <family val="2"/>
    </font>
    <font>
      <sz val="12"/>
      <color rgb="FF1F2328"/>
      <name val="Segoe UI"/>
      <family val="2"/>
    </font>
    <font>
      <sz val="22"/>
      <color rgb="FF1F2328"/>
      <name val="Segoe UI"/>
      <family val="2"/>
    </font>
    <font>
      <b/>
      <sz val="1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6F8FA"/>
        <bgColor indexed="64"/>
      </patternFill>
    </fill>
    <fill>
      <patternFill patternType="solid">
        <fgColor theme="6" tint="-0.249977111117893"/>
        <bgColor indexed="64"/>
      </patternFill>
    </fill>
  </fills>
  <borders count="2">
    <border>
      <left/>
      <right/>
      <top/>
      <bottom/>
      <diagonal/>
    </border>
    <border>
      <left style="medium">
        <color rgb="FFD1D9E0"/>
      </left>
      <right style="medium">
        <color rgb="FFD1D9E0"/>
      </right>
      <top style="medium">
        <color rgb="FFD1D9E0"/>
      </top>
      <bottom style="medium">
        <color rgb="FFD1D9E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2" borderId="1" xfId="0" applyFont="1" applyFill="1" applyBorder="1" applyAlignment="1">
      <alignment horizontal="right" vertical="center" wrapText="1" indent="1"/>
    </xf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right" vertical="center" wrapText="1" indent="1"/>
    </xf>
    <xf numFmtId="0" fontId="3" fillId="2" borderId="1" xfId="0" applyFont="1" applyFill="1" applyBorder="1" applyAlignment="1">
      <alignment horizontal="left" vertical="center" wrapText="1" indent="1"/>
    </xf>
    <xf numFmtId="0" fontId="3" fillId="3" borderId="1" xfId="0" applyFont="1" applyFill="1" applyBorder="1" applyAlignment="1">
      <alignment horizontal="right" vertical="center" wrapText="1" indent="1"/>
    </xf>
    <xf numFmtId="0" fontId="3" fillId="3" borderId="1" xfId="0" applyFont="1" applyFill="1" applyBorder="1" applyAlignment="1">
      <alignment horizontal="left" vertical="center" wrapText="1" indent="1"/>
    </xf>
    <xf numFmtId="0" fontId="2" fillId="2" borderId="1" xfId="0" applyFont="1" applyFill="1" applyBorder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1" fillId="4" borderId="0" xfId="0" applyFont="1" applyFill="1" applyAlignment="1">
      <alignment vertical="center"/>
    </xf>
    <xf numFmtId="0" fontId="0" fillId="4" borderId="0" xfId="0" applyFill="1" applyAlignment="1">
      <alignment vertical="center"/>
    </xf>
    <xf numFmtId="0" fontId="5" fillId="4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10C4A-D8B9-40A1-AF37-39F1704C0AA7}">
  <dimension ref="E1:L51"/>
  <sheetViews>
    <sheetView tabSelected="1" zoomScale="85" zoomScaleNormal="85" workbookViewId="0">
      <selection activeCell="F43" sqref="F43"/>
    </sheetView>
  </sheetViews>
  <sheetFormatPr defaultRowHeight="15" x14ac:dyDescent="0.25"/>
  <cols>
    <col min="6" max="6" width="21.7109375" customWidth="1"/>
    <col min="7" max="7" width="19.85546875" customWidth="1"/>
    <col min="8" max="8" width="21.7109375" customWidth="1"/>
    <col min="9" max="9" width="14" customWidth="1"/>
    <col min="10" max="10" width="18.5703125" customWidth="1"/>
    <col min="11" max="11" width="27.28515625" customWidth="1"/>
  </cols>
  <sheetData>
    <row r="1" spans="5:12" ht="33" x14ac:dyDescent="0.25">
      <c r="F1" s="8" t="s">
        <v>33</v>
      </c>
      <c r="G1" s="8"/>
      <c r="H1" s="8"/>
      <c r="I1" s="8"/>
      <c r="J1" s="8"/>
      <c r="K1" s="8"/>
      <c r="L1" s="8"/>
    </row>
    <row r="2" spans="5:12" ht="15.75" thickBot="1" x14ac:dyDescent="0.3"/>
    <row r="3" spans="5:12" ht="18" thickBot="1" x14ac:dyDescent="0.3">
      <c r="F3" s="1" t="s">
        <v>0</v>
      </c>
      <c r="G3" s="2" t="s">
        <v>1</v>
      </c>
      <c r="H3" s="2" t="s">
        <v>2</v>
      </c>
      <c r="I3" s="2" t="s">
        <v>3</v>
      </c>
      <c r="J3" s="1" t="s">
        <v>4</v>
      </c>
      <c r="K3" s="1" t="s">
        <v>5</v>
      </c>
    </row>
    <row r="4" spans="5:12" ht="18" thickBot="1" x14ac:dyDescent="0.3">
      <c r="F4" s="3" t="s">
        <v>6</v>
      </c>
      <c r="G4" s="4" t="s">
        <v>7</v>
      </c>
      <c r="H4" s="4" t="s">
        <v>8</v>
      </c>
      <c r="I4" s="4" t="s">
        <v>9</v>
      </c>
      <c r="J4" s="3">
        <v>45000</v>
      </c>
      <c r="K4" s="3">
        <v>2019</v>
      </c>
    </row>
    <row r="5" spans="5:12" ht="18" thickBot="1" x14ac:dyDescent="0.3">
      <c r="F5" s="5" t="s">
        <v>10</v>
      </c>
      <c r="G5" s="6" t="s">
        <v>11</v>
      </c>
      <c r="H5" s="6" t="s">
        <v>12</v>
      </c>
      <c r="I5" s="6" t="s">
        <v>13</v>
      </c>
      <c r="J5" s="5">
        <v>52000</v>
      </c>
      <c r="K5" s="5">
        <v>2018</v>
      </c>
    </row>
    <row r="6" spans="5:12" ht="18" thickBot="1" x14ac:dyDescent="0.3">
      <c r="F6" s="3" t="s">
        <v>14</v>
      </c>
      <c r="G6" s="4" t="s">
        <v>15</v>
      </c>
      <c r="H6" s="4" t="s">
        <v>16</v>
      </c>
      <c r="I6" s="4" t="s">
        <v>17</v>
      </c>
      <c r="J6" s="3">
        <v>65000</v>
      </c>
      <c r="K6" s="3">
        <v>2020</v>
      </c>
    </row>
    <row r="7" spans="5:12" ht="18" thickBot="1" x14ac:dyDescent="0.3">
      <c r="F7" s="5" t="s">
        <v>18</v>
      </c>
      <c r="G7" s="6" t="s">
        <v>19</v>
      </c>
      <c r="H7" s="6" t="s">
        <v>20</v>
      </c>
      <c r="I7" s="6" t="s">
        <v>21</v>
      </c>
      <c r="J7" s="5">
        <v>58000</v>
      </c>
      <c r="K7" s="5">
        <v>2017</v>
      </c>
    </row>
    <row r="8" spans="5:12" ht="18" thickBot="1" x14ac:dyDescent="0.3">
      <c r="F8" s="3" t="s">
        <v>22</v>
      </c>
      <c r="G8" s="4" t="s">
        <v>23</v>
      </c>
      <c r="H8" s="4" t="s">
        <v>24</v>
      </c>
      <c r="I8" s="4" t="s">
        <v>9</v>
      </c>
      <c r="J8" s="3">
        <v>48000</v>
      </c>
      <c r="K8" s="3">
        <v>2021</v>
      </c>
    </row>
    <row r="9" spans="5:12" ht="18" thickBot="1" x14ac:dyDescent="0.3">
      <c r="F9" s="5" t="s">
        <v>25</v>
      </c>
      <c r="G9" s="6" t="s">
        <v>26</v>
      </c>
      <c r="H9" s="6" t="s">
        <v>16</v>
      </c>
      <c r="I9" s="6" t="s">
        <v>27</v>
      </c>
      <c r="J9" s="5">
        <v>62000</v>
      </c>
      <c r="K9" s="5">
        <v>2019</v>
      </c>
    </row>
    <row r="10" spans="5:12" ht="18" thickBot="1" x14ac:dyDescent="0.3">
      <c r="F10" s="3" t="s">
        <v>28</v>
      </c>
      <c r="G10" s="4" t="s">
        <v>29</v>
      </c>
      <c r="H10" s="4" t="s">
        <v>8</v>
      </c>
      <c r="I10" s="4" t="s">
        <v>30</v>
      </c>
      <c r="J10" s="3">
        <v>47000</v>
      </c>
      <c r="K10" s="3">
        <v>2020</v>
      </c>
    </row>
    <row r="11" spans="5:12" ht="18" thickBot="1" x14ac:dyDescent="0.3">
      <c r="F11" s="5" t="s">
        <v>31</v>
      </c>
      <c r="G11" s="6" t="s">
        <v>32</v>
      </c>
      <c r="H11" s="6" t="s">
        <v>12</v>
      </c>
      <c r="I11" s="6" t="s">
        <v>17</v>
      </c>
      <c r="J11" s="5">
        <v>54000</v>
      </c>
      <c r="K11" s="5">
        <v>2016</v>
      </c>
    </row>
    <row r="15" spans="5:12" x14ac:dyDescent="0.25">
      <c r="E15" s="9" t="s">
        <v>36</v>
      </c>
      <c r="F15" s="10"/>
      <c r="G15" s="10"/>
      <c r="H15" s="10"/>
      <c r="I15" s="10"/>
      <c r="J15" s="10"/>
    </row>
    <row r="16" spans="5:12" ht="15.75" thickBot="1" x14ac:dyDescent="0.3"/>
    <row r="17" spans="5:10" ht="18" thickBot="1" x14ac:dyDescent="0.3">
      <c r="F17" s="7" t="s">
        <v>0</v>
      </c>
      <c r="G17" s="7" t="s">
        <v>1</v>
      </c>
    </row>
    <row r="18" spans="5:10" x14ac:dyDescent="0.25">
      <c r="F18" t="s">
        <v>6</v>
      </c>
      <c r="G18" t="str">
        <f>VLOOKUP(F18,F3:K11,2,0)</f>
        <v>Rahul Sharma</v>
      </c>
    </row>
    <row r="20" spans="5:10" x14ac:dyDescent="0.25">
      <c r="E20" s="9" t="s">
        <v>34</v>
      </c>
      <c r="F20" s="10"/>
      <c r="G20" s="10"/>
      <c r="H20" s="10"/>
      <c r="I20" s="10"/>
      <c r="J20" s="10"/>
    </row>
    <row r="21" spans="5:10" ht="15.75" thickBot="1" x14ac:dyDescent="0.3"/>
    <row r="22" spans="5:10" ht="18" thickBot="1" x14ac:dyDescent="0.3">
      <c r="F22" s="1" t="s">
        <v>0</v>
      </c>
      <c r="G22" s="2" t="s">
        <v>2</v>
      </c>
    </row>
    <row r="23" spans="5:10" ht="18" thickBot="1" x14ac:dyDescent="0.3">
      <c r="F23" s="2" t="s">
        <v>14</v>
      </c>
      <c r="G23" s="1" t="str">
        <f>VLOOKUP(F23,F3:K11,3,0)</f>
        <v>IT</v>
      </c>
    </row>
    <row r="25" spans="5:10" x14ac:dyDescent="0.25">
      <c r="E25" s="9" t="s">
        <v>35</v>
      </c>
      <c r="F25" s="10"/>
      <c r="G25" s="10"/>
      <c r="H25" s="10"/>
      <c r="I25" s="10"/>
      <c r="J25" s="10"/>
    </row>
    <row r="27" spans="5:10" ht="15.75" thickBot="1" x14ac:dyDescent="0.3"/>
    <row r="28" spans="5:10" ht="18" thickBot="1" x14ac:dyDescent="0.3">
      <c r="F28" s="2" t="s">
        <v>1</v>
      </c>
      <c r="G28" s="1" t="s">
        <v>4</v>
      </c>
    </row>
    <row r="29" spans="5:10" ht="18" thickBot="1" x14ac:dyDescent="0.3">
      <c r="F29" s="6" t="s">
        <v>19</v>
      </c>
      <c r="G29" s="6">
        <f>VLOOKUP(F29,G3:K11,4,0)</f>
        <v>58000</v>
      </c>
    </row>
    <row r="32" spans="5:10" x14ac:dyDescent="0.25">
      <c r="E32" s="11" t="s">
        <v>37</v>
      </c>
      <c r="F32" s="12"/>
      <c r="G32" s="12"/>
      <c r="H32" s="12"/>
      <c r="I32" s="12"/>
      <c r="J32" s="12"/>
    </row>
    <row r="34" spans="5:10" ht="15.75" thickBot="1" x14ac:dyDescent="0.3"/>
    <row r="35" spans="5:10" ht="18" thickBot="1" x14ac:dyDescent="0.3">
      <c r="F35" s="1" t="s">
        <v>0</v>
      </c>
      <c r="G35" s="2" t="s">
        <v>3</v>
      </c>
    </row>
    <row r="36" spans="5:10" x14ac:dyDescent="0.25">
      <c r="F36" t="s">
        <v>28</v>
      </c>
      <c r="G36" t="str">
        <f>VLOOKUP(F36,F3:K11,4,0)</f>
        <v>Hyderabad</v>
      </c>
    </row>
    <row r="39" spans="5:10" x14ac:dyDescent="0.25">
      <c r="E39" s="9" t="s">
        <v>38</v>
      </c>
      <c r="F39" s="10"/>
      <c r="G39" s="10"/>
      <c r="H39" s="10"/>
      <c r="I39" s="10"/>
      <c r="J39" s="10"/>
    </row>
    <row r="40" spans="5:10" ht="15.75" thickBot="1" x14ac:dyDescent="0.3"/>
    <row r="41" spans="5:10" ht="18" thickBot="1" x14ac:dyDescent="0.3">
      <c r="F41" s="1" t="s">
        <v>0</v>
      </c>
      <c r="G41" s="2" t="s">
        <v>1</v>
      </c>
    </row>
    <row r="42" spans="5:10" x14ac:dyDescent="0.25">
      <c r="F42" t="s">
        <v>40</v>
      </c>
      <c r="G42" t="str">
        <f>IFERROR(VLOOKUP(F42,F3:K11,2,0),"Not Found")</f>
        <v>Not Found</v>
      </c>
    </row>
    <row r="46" spans="5:10" x14ac:dyDescent="0.25">
      <c r="E46" s="9" t="s">
        <v>39</v>
      </c>
      <c r="F46" s="10"/>
      <c r="G46" s="10"/>
      <c r="H46" s="10"/>
      <c r="I46" s="10"/>
      <c r="J46" s="10"/>
    </row>
    <row r="48" spans="5:10" ht="15.75" thickBot="1" x14ac:dyDescent="0.3"/>
    <row r="49" spans="6:7" ht="18" thickBot="1" x14ac:dyDescent="0.3">
      <c r="F49" s="1" t="s">
        <v>0</v>
      </c>
      <c r="G49" s="1" t="s">
        <v>5</v>
      </c>
    </row>
    <row r="51" spans="6:7" x14ac:dyDescent="0.25">
      <c r="F51" t="s">
        <v>6</v>
      </c>
      <c r="G51">
        <f>VLOOKUP(F51,F3:K11,6,0)</f>
        <v>2019</v>
      </c>
    </row>
  </sheetData>
  <mergeCells count="7">
    <mergeCell ref="E39:J39"/>
    <mergeCell ref="E46:J46"/>
    <mergeCell ref="F1:L1"/>
    <mergeCell ref="E15:J15"/>
    <mergeCell ref="E20:J20"/>
    <mergeCell ref="E25:J25"/>
    <mergeCell ref="E32:J32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88EA8-731A-4360-B232-791C16A58515}">
  <dimension ref="E2:N2"/>
  <sheetViews>
    <sheetView workbookViewId="0">
      <selection activeCell="E7" sqref="E7"/>
    </sheetView>
  </sheetViews>
  <sheetFormatPr defaultRowHeight="15" x14ac:dyDescent="0.25"/>
  <sheetData>
    <row r="2" spans="5:14" ht="23.25" x14ac:dyDescent="0.35">
      <c r="E2" s="13" t="s">
        <v>41</v>
      </c>
      <c r="F2" s="10"/>
      <c r="G2" s="10"/>
      <c r="H2" s="10"/>
      <c r="I2" s="10"/>
      <c r="J2" s="10"/>
      <c r="K2" s="10"/>
      <c r="L2" s="10"/>
      <c r="M2" s="10"/>
      <c r="N2" s="10"/>
    </row>
  </sheetData>
  <mergeCells count="1">
    <mergeCell ref="E2:N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DB86-9B3B-4B2A-B62C-D38109124C07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VLOOKUP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ASDC4</dc:creator>
  <cp:lastModifiedBy>ASDC4</cp:lastModifiedBy>
  <dcterms:created xsi:type="dcterms:W3CDTF">2026-06-29T08:23:13Z</dcterms:created>
  <dcterms:modified xsi:type="dcterms:W3CDTF">2026-06-29T10:21:28Z</dcterms:modified>
</cp:coreProperties>
</file>